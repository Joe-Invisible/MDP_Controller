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3281B8-DA83-4AF0-8841-C121A4ED58A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ummary" sheetId="1" r:id="rId1"/>
    <sheet name="Wheel Calibration" sheetId="2" r:id="rId2"/>
    <sheet name="Initial 500mm" sheetId="3" r:id="rId3"/>
    <sheet name="Baseline 500mm" sheetId="4" r:id="rId4"/>
    <sheet name="Stationary Yaw" sheetId="5" r:id="rId5"/>
    <sheet name="1000mm Pre-Fix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I9" i="6"/>
  <c r="I8" i="6"/>
  <c r="I7" i="6"/>
  <c r="I6" i="6"/>
  <c r="B12" i="5"/>
  <c r="B11" i="5"/>
  <c r="B10" i="5"/>
  <c r="F12" i="4"/>
  <c r="C12" i="4"/>
  <c r="B12" i="4"/>
  <c r="F11" i="4"/>
  <c r="C11" i="4"/>
  <c r="B11" i="4"/>
  <c r="F10" i="4"/>
  <c r="C10" i="4"/>
  <c r="B10" i="4"/>
  <c r="K7" i="4"/>
  <c r="J7" i="4"/>
  <c r="I7" i="4"/>
  <c r="E8" i="1" s="1"/>
  <c r="H7" i="4"/>
  <c r="K6" i="4"/>
  <c r="J6" i="4"/>
  <c r="I6" i="4"/>
  <c r="H6" i="4"/>
  <c r="K5" i="4"/>
  <c r="E9" i="1" s="1"/>
  <c r="J5" i="4"/>
  <c r="I5" i="4"/>
  <c r="E10" i="4" s="1"/>
  <c r="H5" i="4"/>
  <c r="D10" i="4" s="1"/>
  <c r="E13" i="3"/>
  <c r="C13" i="3"/>
  <c r="B13" i="3"/>
  <c r="E12" i="3"/>
  <c r="C12" i="3"/>
  <c r="B12" i="3"/>
  <c r="E11" i="3"/>
  <c r="C11" i="3"/>
  <c r="B11" i="3"/>
  <c r="I8" i="3"/>
  <c r="F13" i="3" s="1"/>
  <c r="H8" i="3"/>
  <c r="G8" i="3"/>
  <c r="D12" i="3" s="1"/>
  <c r="J7" i="3"/>
  <c r="I7" i="3"/>
  <c r="H7" i="3"/>
  <c r="G7" i="3"/>
  <c r="J6" i="3"/>
  <c r="I6" i="3"/>
  <c r="H6" i="3"/>
  <c r="G6" i="3"/>
  <c r="I5" i="3"/>
  <c r="F12" i="3" s="1"/>
  <c r="H5" i="3"/>
  <c r="G5" i="3"/>
  <c r="D13" i="3" s="1"/>
  <c r="B12" i="2"/>
  <c r="B10" i="2"/>
  <c r="E7" i="2"/>
  <c r="D7" i="2"/>
  <c r="C7" i="2"/>
  <c r="D6" i="2"/>
  <c r="E6" i="2" s="1"/>
  <c r="C6" i="2"/>
  <c r="C5" i="2"/>
  <c r="D5" i="2" s="1"/>
  <c r="E11" i="1"/>
  <c r="E10" i="1"/>
  <c r="E7" i="1"/>
  <c r="B7" i="1"/>
  <c r="B9" i="1" s="1"/>
  <c r="E6" i="1"/>
  <c r="E5" i="1" l="1"/>
  <c r="B11" i="2"/>
  <c r="E5" i="2"/>
  <c r="D11" i="4"/>
  <c r="E11" i="4"/>
  <c r="F11" i="3"/>
  <c r="D11" i="3"/>
  <c r="J5" i="3"/>
  <c r="D12" i="4"/>
  <c r="E12" i="4"/>
  <c r="J8" i="3"/>
</calcChain>
</file>

<file path=xl/sharedStrings.xml><?xml version="1.0" encoding="utf-8"?>
<sst xmlns="http://schemas.openxmlformats.org/spreadsheetml/2006/main" count="127" uniqueCount="96">
  <si>
    <t>MotionController Calibration Summary</t>
  </si>
  <si>
    <t>Calibration and baseline results collected in this conversation through 1 Sep 2026.</t>
  </si>
  <si>
    <t>Current parameter</t>
  </si>
  <si>
    <t>Value</t>
  </si>
  <si>
    <t>Validated result</t>
  </si>
  <si>
    <t>Interpretation</t>
  </si>
  <si>
    <t>Encoder counts / wheel revolution</t>
  </si>
  <si>
    <t>Rear-wheel effective diameter</t>
  </si>
  <si>
    <t>From 10-revolution rolling test</t>
  </si>
  <si>
    <t>Effective rear-wheel diameter (mm)</t>
  </si>
  <si>
    <t>500 mm brake trigger mean</t>
  </si>
  <si>
    <t>Target crossing is detected within one 10 ms update</t>
  </si>
  <si>
    <t>Calculated mm / encoder count</t>
  </si>
  <si>
    <t>500 mm brake-trigger overshoot</t>
  </si>
  <si>
    <t>Mean odometric amount past 500 mm before BRAKING</t>
  </si>
  <si>
    <t>Test speed (CPS)</t>
  </si>
  <si>
    <t>Post-trigger braking travel</t>
  </si>
  <si>
    <t>At 2000 CPS; useful for later stopping-distance compensation</t>
  </si>
  <si>
    <t>Approx. linear speed at 2000 CPS (mm/s)</t>
  </si>
  <si>
    <t>Residual physical-vs-odometry error</t>
  </si>
  <si>
    <t>Odometry still reads slightly low after 65.5 mm calibration</t>
  </si>
  <si>
    <t>MotionController update period (ms)</t>
  </si>
  <si>
    <t>Stationary integrated yaw mean</t>
  </si>
  <si>
    <t>Gyro bias/noise is negligible over test duration</t>
  </si>
  <si>
    <t>500 mm moving yaw mean (Kp=0)</t>
  </si>
  <si>
    <t>Real repeatable heading drift, not stationary gyro drift</t>
  </si>
  <si>
    <t>Current conclusions</t>
  </si>
  <si>
    <t>1</t>
  </si>
  <si>
    <t>Use 65.5 mm as the current effective rear-wheel rolling diameter.</t>
  </si>
  <si>
    <t>2</t>
  </si>
  <si>
    <t>Distance-trigger logic is behaving correctly; the ~20–25 mm final excess is mostly braking travel.</t>
  </si>
  <si>
    <t>3</t>
  </si>
  <si>
    <t>At 2000 CPS, post-trigger braking travel is highly repeatable at about 19 mm.</t>
  </si>
  <si>
    <t>4</t>
  </si>
  <si>
    <t>Stationary yaw drift is only about ±0.05°, while moving runs show ~+2.6° over 500 mm.</t>
  </si>
  <si>
    <t>5</t>
  </si>
  <si>
    <t>The earlier Kp=0.05 tuning data is invalid for PID tuning because steering was truncated to integer zero.</t>
  </si>
  <si>
    <t>6</t>
  </si>
  <si>
    <t>fwdriver steering convention has since been changed to floating-point steering percent (-100% to +100%).</t>
  </si>
  <si>
    <t>7</t>
  </si>
  <si>
    <t>Next step: tune heading Kp with the fixed steering path, keeping Ki=Kd=0 initially.</t>
  </si>
  <si>
    <t>Note: The '1000mm Pre-Fix' sheet is retained for diagnostic history only and should not be used to select PID gains.</t>
  </si>
  <si>
    <t>Rear-Wheel Rolling Diameter Calibration</t>
  </si>
  <si>
    <t>Rear wheel rolled for 10 complete revolutions. Front-wheel measurements were discarded as unreliable due to looseness.</t>
  </si>
  <si>
    <t>Run</t>
  </si>
  <si>
    <t>10 rev distance (mm)</t>
  </si>
  <si>
    <t>Circumference / rev (mm)</t>
  </si>
  <si>
    <t>Effective diameter (mm)</t>
  </si>
  <si>
    <t>Diameter error vs 65.0 mm</t>
  </si>
  <si>
    <t>Notes</t>
  </si>
  <si>
    <t>Statistic</t>
  </si>
  <si>
    <t>Mean 10-rev distance (mm)</t>
  </si>
  <si>
    <t>Mean effective diameter (mm)</t>
  </si>
  <si>
    <t>Range of 10-rev distances (mm)</t>
  </si>
  <si>
    <t>Initial 500 mm Straight Runs — Kp=Ki=Kd=0, Wheel Diameter 65.0 mm</t>
  </si>
  <si>
    <t>These runs established repeatability and motivated the later rear-wheel rolling-diameter calibration.</t>
  </si>
  <si>
    <t>D final (mm)</t>
  </si>
  <si>
    <t>L (mm)</t>
  </si>
  <si>
    <t>R (mm)</t>
  </si>
  <si>
    <t>Yaw (deg)</t>
  </si>
  <si>
    <t>Physical (mm)</t>
  </si>
  <si>
    <t>R-L (mm)</t>
  </si>
  <si>
    <t>Physical-D (mm)</t>
  </si>
  <si>
    <t>Phy/Odom scale</t>
  </si>
  <si>
    <t>Implied eff. diameter (mm)</t>
  </si>
  <si>
    <t>Remarks</t>
  </si>
  <si>
    <t>D final</t>
  </si>
  <si>
    <t>Physical</t>
  </si>
  <si>
    <t>R-L</t>
  </si>
  <si>
    <t>Yaw</t>
  </si>
  <si>
    <t>Mean</t>
  </si>
  <si>
    <t>Min</t>
  </si>
  <si>
    <t>Max</t>
  </si>
  <si>
    <t>500 mm Baseline After Rear-Wheel Diameter Calibration — Kp=Ki=Kd=0</t>
  </si>
  <si>
    <t>Current best baseline dataset: effective rear-wheel diameter 65.5 mm; 500 mm target; 2000 CPS; BRAKE records STRAIGHT→BRAKING odometry.</t>
  </si>
  <si>
    <t>BRAKE trigger (mm)</t>
  </si>
  <si>
    <t>Trigger overshoot (mm)</t>
  </si>
  <si>
    <t>Post-trigger travel (mm)</t>
  </si>
  <si>
    <t>Odom low vs physical (%)</t>
  </si>
  <si>
    <t>Final D</t>
  </si>
  <si>
    <t>Brake trigger</t>
  </si>
  <si>
    <t>Trigger overshoot</t>
  </si>
  <si>
    <t>Post-brake travel</t>
  </si>
  <si>
    <t>Stationary Integrated Yaw Check</t>
  </si>
  <si>
    <t>Robot stationary for approximately the same duration as a short straight-motion test; used to check residual gyro bias/random walk.</t>
  </si>
  <si>
    <t>Final yaw (deg)</t>
  </si>
  <si>
    <t>Mean yaw (deg)</t>
  </si>
  <si>
    <t>Max abs yaw (deg)</t>
  </si>
  <si>
    <t>Peak-to-peak (deg)</t>
  </si>
  <si>
    <t>1000 mm Diagnostic Runs Before fwdriver Float Steering Fix</t>
  </si>
  <si>
    <t>WARNING: Do not use these runs to tune Kp. Servo_SetSteering accepted an integer, so MotionController corrections below 1% were truncated to zero. The first two runs also had the servo disabled; the final three effectively held the servo at its centered position.</t>
  </si>
  <si>
    <t>Servo state</t>
  </si>
  <si>
    <t>BRAKE (mm)</t>
  </si>
  <si>
    <t>Disabled</t>
  </si>
  <si>
    <t>Forgot to enable Servo</t>
  </si>
  <si>
    <t>Enabled; correction truncated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</si>
</sst>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0"/>
  </numFmts>
  <fonts count="8">
    <font>
      <sz val="11"/>
      <name val="Carlito"/>
    </font>
    <font>
      <b/>
      <sz val="16"/>
      <color rgb="FFFFFFFF"/>
      <name val="Carlito"/>
    </font>
    <font>
      <i/>
      <sz val="11"/>
      <color rgb="FF595959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1"/>
      <color rgb="FF385723"/>
      <name val="Carlito"/>
    </font>
    <font>
      <sz val="6"/>
      <name val="HGGothicE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6" fontId="6" fillId="7" borderId="0" xfId="0" applyNumberFormat="1" applyFont="1" applyFill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178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500 mm Runs: Final / Physical / Brake Trigger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 final (mm)</c:v>
          </c:tx>
          <c:marker>
            <c:symbol val="none"/>
          </c:marker>
          <c:cat>
            <c:numRef>
              <c:f>'Baseline 500mm'!$A$5:$A$7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'Baseline 500mm'!$B$5:$B$7</c:f>
              <c:numCache>
                <c:formatCode>0.000</c:formatCode>
                <c:ptCount val="3"/>
                <c:pt idx="0">
                  <c:v>520.20000000000005</c:v>
                </c:pt>
                <c:pt idx="1">
                  <c:v>520.1</c:v>
                </c:pt>
                <c:pt idx="2">
                  <c:v>520.9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E8-46F7-949D-4D69C817C18A}"/>
            </c:ext>
          </c:extLst>
        </c:ser>
        <c:ser>
          <c:idx val="1"/>
          <c:order val="1"/>
          <c:tx>
            <c:v>L (mm)</c:v>
          </c:tx>
          <c:marker>
            <c:symbol val="none"/>
          </c:marker>
          <c:cat>
            <c:numRef>
              <c:f>'Baseline 500mm'!$A$5:$A$7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'Baseline 500mm'!$C$5:$C$7</c:f>
              <c:numCache>
                <c:formatCode>0.000</c:formatCode>
                <c:ptCount val="3"/>
                <c:pt idx="0">
                  <c:v>519.20000000000005</c:v>
                </c:pt>
                <c:pt idx="1">
                  <c:v>518.9</c:v>
                </c:pt>
                <c:pt idx="2">
                  <c:v>520.4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E8-46F7-949D-4D69C817C18A}"/>
            </c:ext>
          </c:extLst>
        </c:ser>
        <c:ser>
          <c:idx val="2"/>
          <c:order val="2"/>
          <c:tx>
            <c:v>R (mm)</c:v>
          </c:tx>
          <c:marker>
            <c:symbol val="none"/>
          </c:marker>
          <c:cat>
            <c:numRef>
              <c:f>'Baseline 500mm'!$A$5:$A$7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'Baseline 500mm'!$D$5:$D$7</c:f>
              <c:numCache>
                <c:formatCode>0.000</c:formatCode>
                <c:ptCount val="3"/>
                <c:pt idx="0">
                  <c:v>521.29999999999995</c:v>
                </c:pt>
                <c:pt idx="1">
                  <c:v>521.29999999999995</c:v>
                </c:pt>
                <c:pt idx="2">
                  <c:v>521.4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0E8-46F7-949D-4D69C817C18A}"/>
            </c:ext>
          </c:extLst>
        </c:ser>
        <c:ser>
          <c:idx val="3"/>
          <c:order val="3"/>
          <c:tx>
            <c:v>Yaw (deg)</c:v>
          </c:tx>
          <c:marker>
            <c:symbol val="none"/>
          </c:marker>
          <c:cat>
            <c:numRef>
              <c:f>'Baseline 500mm'!$A$5:$A$7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'Baseline 500mm'!$E$5:$E$7</c:f>
              <c:numCache>
                <c:formatCode>0.000</c:formatCode>
                <c:ptCount val="3"/>
                <c:pt idx="0">
                  <c:v>2.36</c:v>
                </c:pt>
                <c:pt idx="1">
                  <c:v>2.83</c:v>
                </c:pt>
                <c:pt idx="2">
                  <c:v>2.6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0E8-46F7-949D-4D69C817C18A}"/>
            </c:ext>
          </c:extLst>
        </c:ser>
        <c:ser>
          <c:idx val="4"/>
          <c:order val="4"/>
          <c:tx>
            <c:v>Physical (mm)</c:v>
          </c:tx>
          <c:marker>
            <c:symbol val="none"/>
          </c:marker>
          <c:cat>
            <c:numRef>
              <c:f>'Baseline 500mm'!$A$5:$A$7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'Baseline 500mm'!$F$5:$F$7</c:f>
              <c:numCache>
                <c:formatCode>0.000</c:formatCode>
                <c:ptCount val="3"/>
                <c:pt idx="0">
                  <c:v>525</c:v>
                </c:pt>
                <c:pt idx="1">
                  <c:v>525</c:v>
                </c:pt>
                <c:pt idx="2">
                  <c:v>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0E8-46F7-949D-4D69C817C18A}"/>
            </c:ext>
          </c:extLst>
        </c:ser>
        <c:ser>
          <c:idx val="5"/>
          <c:order val="5"/>
          <c:tx>
            <c:v>BRAKE trigger (mm)</c:v>
          </c:tx>
          <c:marker>
            <c:symbol val="none"/>
          </c:marker>
          <c:cat>
            <c:numRef>
              <c:f>'Baseline 500mm'!$A$5:$A$7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'Baseline 500mm'!$G$5:$G$7</c:f>
              <c:numCache>
                <c:formatCode>0.000</c:formatCode>
                <c:ptCount val="3"/>
                <c:pt idx="0">
                  <c:v>502.2</c:v>
                </c:pt>
                <c:pt idx="1">
                  <c:v>501.3</c:v>
                </c:pt>
                <c:pt idx="2">
                  <c:v>501.6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0E8-46F7-949D-4D69C817C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workbookViewId="0">
      <selection activeCell="E28" sqref="E28"/>
    </sheetView>
  </sheetViews>
  <sheetFormatPr defaultRowHeight="14.6" customHeight="1"/>
  <cols>
    <col min="1" max="1" width="22" customWidth="1"/>
    <col min="2" max="2" width="38" customWidth="1"/>
    <col min="3" max="5" width="22" customWidth="1"/>
    <col min="6" max="6" width="42" customWidth="1"/>
    <col min="7" max="9" width="22" customWidth="1"/>
    <col min="10" max="11" width="30" customWidth="1"/>
  </cols>
  <sheetData>
    <row r="1" spans="1:26" ht="14.6" customHeight="1">
      <c r="A1" s="11" t="s">
        <v>0</v>
      </c>
      <c r="B1" s="11"/>
      <c r="C1" s="11"/>
      <c r="D1" s="11"/>
      <c r="E1" s="11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6" customHeight="1">
      <c r="A2" s="12" t="s">
        <v>1</v>
      </c>
      <c r="B2" s="12"/>
      <c r="C2" s="12"/>
      <c r="D2" s="12"/>
      <c r="E2" s="12"/>
      <c r="F2" s="1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6" customHeight="1">
      <c r="A4" s="3" t="s">
        <v>2</v>
      </c>
      <c r="B4" s="3" t="s">
        <v>3</v>
      </c>
      <c r="C4" s="2"/>
      <c r="D4" s="3" t="s">
        <v>4</v>
      </c>
      <c r="E4" s="3" t="s">
        <v>3</v>
      </c>
      <c r="F4" s="3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55" customHeight="1">
      <c r="A5" s="2" t="s">
        <v>6</v>
      </c>
      <c r="B5" s="8">
        <v>1560</v>
      </c>
      <c r="C5" s="2"/>
      <c r="D5" s="2" t="s">
        <v>7</v>
      </c>
      <c r="E5" s="5">
        <f>AVERAGE('Wheel Calibration'!D5:D7)</f>
        <v>65.497564247084668</v>
      </c>
      <c r="F5" s="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.55" customHeight="1">
      <c r="A6" s="2" t="s">
        <v>9</v>
      </c>
      <c r="B6" s="9">
        <v>65.5</v>
      </c>
      <c r="C6" s="2"/>
      <c r="D6" s="2" t="s">
        <v>10</v>
      </c>
      <c r="E6" s="9">
        <f>AVERAGE('Baseline 500mm'!G5:G7)</f>
        <v>501.7</v>
      </c>
      <c r="F6" s="2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55" customHeight="1">
      <c r="A7" s="2" t="s">
        <v>12</v>
      </c>
      <c r="B7" s="10">
        <f>PI()*B6/B5</f>
        <v>0.13190661462187914</v>
      </c>
      <c r="C7" s="2"/>
      <c r="D7" s="2" t="s">
        <v>13</v>
      </c>
      <c r="E7" s="9">
        <f>AVERAGE('Baseline 500mm'!H5:H7)</f>
        <v>1.7000000000000075</v>
      </c>
      <c r="F7" s="2" t="s">
        <v>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.55" customHeight="1">
      <c r="A8" s="2" t="s">
        <v>15</v>
      </c>
      <c r="B8" s="8">
        <v>2000</v>
      </c>
      <c r="C8" s="2"/>
      <c r="D8" s="2" t="s">
        <v>16</v>
      </c>
      <c r="E8" s="9">
        <f>AVERAGE('Baseline 500mm'!I5:I7)</f>
        <v>18.700000000000006</v>
      </c>
      <c r="F8" s="2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.55" customHeight="1">
      <c r="A9" s="2" t="s">
        <v>18</v>
      </c>
      <c r="B9" s="9">
        <f>B7*B8</f>
        <v>263.81322924375826</v>
      </c>
      <c r="C9" s="2"/>
      <c r="D9" s="2" t="s">
        <v>19</v>
      </c>
      <c r="E9" s="7">
        <f>AVERAGE('Baseline 500mm'!K5:K7)</f>
        <v>8.7619047619047329E-3</v>
      </c>
      <c r="F9" s="2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.55" customHeight="1">
      <c r="A10" s="2" t="s">
        <v>21</v>
      </c>
      <c r="B10" s="8">
        <v>10</v>
      </c>
      <c r="C10" s="2"/>
      <c r="D10" s="2" t="s">
        <v>22</v>
      </c>
      <c r="E10" s="5">
        <f>AVERAGE('Stationary Yaw'!B5:B7)</f>
        <v>0.02</v>
      </c>
      <c r="F10" s="2" t="s">
        <v>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" customHeight="1">
      <c r="A11" s="2"/>
      <c r="B11" s="2"/>
      <c r="C11" s="2"/>
      <c r="D11" s="2" t="s">
        <v>24</v>
      </c>
      <c r="E11" s="5">
        <f>AVERAGE('Baseline 500mm'!E5:E7)</f>
        <v>2.5966666666666662</v>
      </c>
      <c r="F11" s="2" t="s">
        <v>25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6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6" customHeight="1">
      <c r="A13" s="13" t="s">
        <v>26</v>
      </c>
      <c r="B13" s="13"/>
      <c r="C13" s="13"/>
      <c r="D13" s="13"/>
      <c r="E13" s="13"/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 t="s">
        <v>27</v>
      </c>
      <c r="B14" s="14" t="s">
        <v>28</v>
      </c>
      <c r="C14" s="14"/>
      <c r="D14" s="14"/>
      <c r="E14" s="14"/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 t="s">
        <v>29</v>
      </c>
      <c r="B15" s="14" t="s">
        <v>30</v>
      </c>
      <c r="C15" s="14"/>
      <c r="D15" s="14"/>
      <c r="E15" s="14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 t="s">
        <v>31</v>
      </c>
      <c r="B16" s="14" t="s">
        <v>32</v>
      </c>
      <c r="C16" s="14"/>
      <c r="D16" s="14"/>
      <c r="E16" s="14"/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 t="s">
        <v>33</v>
      </c>
      <c r="B17" s="14" t="s">
        <v>34</v>
      </c>
      <c r="C17" s="14"/>
      <c r="D17" s="14"/>
      <c r="E17" s="14"/>
      <c r="F17" s="1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 t="s">
        <v>35</v>
      </c>
      <c r="B18" s="14" t="s">
        <v>36</v>
      </c>
      <c r="C18" s="14"/>
      <c r="D18" s="14"/>
      <c r="E18" s="14"/>
      <c r="F18" s="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 t="s">
        <v>37</v>
      </c>
      <c r="B19" s="14" t="s">
        <v>38</v>
      </c>
      <c r="C19" s="14"/>
      <c r="D19" s="14"/>
      <c r="E19" s="14"/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 t="s">
        <v>39</v>
      </c>
      <c r="B20" s="14" t="s">
        <v>40</v>
      </c>
      <c r="C20" s="14"/>
      <c r="D20" s="14"/>
      <c r="E20" s="14"/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6" customHeight="1">
      <c r="A22" s="15" t="s">
        <v>41</v>
      </c>
      <c r="B22" s="15"/>
      <c r="C22" s="15"/>
      <c r="D22" s="15"/>
      <c r="E22" s="15"/>
      <c r="F22" s="1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6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6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6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6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6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6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6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6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6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6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6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6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6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6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11">
    <mergeCell ref="A22:F22"/>
    <mergeCell ref="B16:F16"/>
    <mergeCell ref="B17:F17"/>
    <mergeCell ref="B18:F18"/>
    <mergeCell ref="B19:F19"/>
    <mergeCell ref="B20:F20"/>
    <mergeCell ref="A1:F1"/>
    <mergeCell ref="A2:F2"/>
    <mergeCell ref="A13:F13"/>
    <mergeCell ref="B14:F14"/>
    <mergeCell ref="B15:F15"/>
  </mergeCells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"/>
  <sheetViews>
    <sheetView workbookViewId="0">
      <selection activeCell="D9" sqref="D9"/>
    </sheetView>
  </sheetViews>
  <sheetFormatPr defaultRowHeight="25.3" customHeight="1"/>
  <cols>
    <col min="1" max="5" width="22" customWidth="1"/>
    <col min="6" max="6" width="34" customWidth="1"/>
    <col min="7" max="9" width="22" customWidth="1"/>
    <col min="10" max="11" width="30" customWidth="1"/>
  </cols>
  <sheetData>
    <row r="1" spans="1:26" ht="25.3" customHeight="1">
      <c r="A1" s="11" t="s">
        <v>42</v>
      </c>
      <c r="B1" s="11"/>
      <c r="C1" s="11"/>
      <c r="D1" s="11"/>
      <c r="E1" s="11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3" customHeight="1">
      <c r="A2" s="12" t="s">
        <v>43</v>
      </c>
      <c r="B2" s="12"/>
      <c r="C2" s="12"/>
      <c r="D2" s="12"/>
      <c r="E2" s="12"/>
      <c r="F2" s="1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3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3" customHeight="1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3" customHeight="1">
      <c r="A5" s="2">
        <v>1</v>
      </c>
      <c r="B5" s="5">
        <v>2052</v>
      </c>
      <c r="C5" s="5">
        <f>B5/10</f>
        <v>205.2</v>
      </c>
      <c r="D5" s="5">
        <f>C5/PI()</f>
        <v>65.317188644913841</v>
      </c>
      <c r="E5" s="5">
        <f>D5-65</f>
        <v>0.31718864491384124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3" customHeight="1">
      <c r="A6" s="2">
        <v>2</v>
      </c>
      <c r="B6" s="5">
        <v>2060</v>
      </c>
      <c r="C6" s="5">
        <f>B6/10</f>
        <v>206</v>
      </c>
      <c r="D6" s="5">
        <f>C6/PI()</f>
        <v>65.571836553860877</v>
      </c>
      <c r="E6" s="5">
        <f>D6-65</f>
        <v>0.57183655386087651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3" customHeight="1">
      <c r="A7" s="2">
        <v>3</v>
      </c>
      <c r="B7" s="5">
        <v>2061</v>
      </c>
      <c r="C7" s="5">
        <f>B7/10</f>
        <v>206.1</v>
      </c>
      <c r="D7" s="5">
        <f>C7/PI()</f>
        <v>65.603667542479258</v>
      </c>
      <c r="E7" s="5">
        <f>D7-65</f>
        <v>0.60366754247925769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3" customHeight="1">
      <c r="A8" s="2"/>
      <c r="B8" s="5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3" customHeight="1">
      <c r="A9" s="4" t="s">
        <v>50</v>
      </c>
      <c r="B9" s="6" t="s">
        <v>3</v>
      </c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3" customHeight="1">
      <c r="A10" s="2" t="s">
        <v>51</v>
      </c>
      <c r="B10" s="5">
        <f>AVERAGE(B5:B7)</f>
        <v>2057.6666666666665</v>
      </c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3" customHeight="1">
      <c r="A11" s="2" t="s">
        <v>52</v>
      </c>
      <c r="B11" s="5">
        <f>AVERAGE(D5:D7)</f>
        <v>65.497564247084668</v>
      </c>
      <c r="C11" s="5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3" customHeight="1">
      <c r="A12" s="2" t="s">
        <v>53</v>
      </c>
      <c r="B12" s="5">
        <f>MAX(B5:B7)-MIN(B5:B7)</f>
        <v>9</v>
      </c>
      <c r="C12" s="5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3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3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3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3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3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3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3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3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3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3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2">
    <mergeCell ref="A1:F1"/>
    <mergeCell ref="A2:F2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workbookViewId="0">
      <selection activeCell="F16" sqref="F16"/>
    </sheetView>
  </sheetViews>
  <sheetFormatPr defaultRowHeight="25.3" customHeight="1"/>
  <cols>
    <col min="1" max="5" width="22" customWidth="1"/>
    <col min="6" max="6" width="30" customWidth="1"/>
    <col min="7" max="9" width="22" customWidth="1"/>
    <col min="10" max="11" width="30" customWidth="1"/>
  </cols>
  <sheetData>
    <row r="1" spans="1:26" ht="25.3" customHeight="1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3" customHeight="1">
      <c r="A2" s="12" t="s">
        <v>55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3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3" customHeight="1">
      <c r="A4" s="1" t="s">
        <v>44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3" customHeight="1">
      <c r="A5" s="2">
        <v>1</v>
      </c>
      <c r="B5" s="5">
        <v>522.29999999999995</v>
      </c>
      <c r="C5" s="5">
        <v>520.1</v>
      </c>
      <c r="D5" s="5">
        <v>524.5</v>
      </c>
      <c r="E5" s="5">
        <v>2.02</v>
      </c>
      <c r="F5" s="5">
        <v>530</v>
      </c>
      <c r="G5" s="5">
        <f>D5-C5</f>
        <v>4.3999999999999773</v>
      </c>
      <c r="H5" s="5">
        <f>F5-B5</f>
        <v>7.7000000000000455</v>
      </c>
      <c r="I5" s="5">
        <f>F5/B5</f>
        <v>1.0147424851617846</v>
      </c>
      <c r="J5" s="5">
        <f>65*I5</f>
        <v>65.958261535516002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3" customHeight="1">
      <c r="A6" s="2">
        <v>2</v>
      </c>
      <c r="B6" s="5">
        <v>519.29999999999995</v>
      </c>
      <c r="C6" s="5">
        <v>518.4</v>
      </c>
      <c r="D6" s="5">
        <v>520.20000000000005</v>
      </c>
      <c r="E6" s="5">
        <v>2.81</v>
      </c>
      <c r="F6" s="5">
        <v>527</v>
      </c>
      <c r="G6" s="5">
        <f>D6-C6</f>
        <v>1.8000000000000682</v>
      </c>
      <c r="H6" s="5">
        <f>F6-B6</f>
        <v>7.7000000000000455</v>
      </c>
      <c r="I6" s="5">
        <f>F6/B6</f>
        <v>1.0148276526092819</v>
      </c>
      <c r="J6" s="5">
        <f>65*I6</f>
        <v>65.963797419603324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3" customHeight="1">
      <c r="A7" s="2">
        <v>3</v>
      </c>
      <c r="B7" s="5">
        <v>522.9</v>
      </c>
      <c r="C7" s="5">
        <v>521.6</v>
      </c>
      <c r="D7" s="5">
        <v>524.1</v>
      </c>
      <c r="E7" s="5">
        <v>2.09</v>
      </c>
      <c r="F7" s="5">
        <v>530</v>
      </c>
      <c r="G7" s="5">
        <f>D7-C7</f>
        <v>2.5</v>
      </c>
      <c r="H7" s="5">
        <f>F7-B7</f>
        <v>7.1000000000000227</v>
      </c>
      <c r="I7" s="5">
        <f>F7/B7</f>
        <v>1.0135781220118569</v>
      </c>
      <c r="J7" s="5">
        <f>65*I7</f>
        <v>65.882577930770694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3" customHeight="1">
      <c r="A8" s="2">
        <v>4</v>
      </c>
      <c r="B8" s="5">
        <v>520.20000000000005</v>
      </c>
      <c r="C8" s="5">
        <v>519.5</v>
      </c>
      <c r="D8" s="5">
        <v>520.79999999999995</v>
      </c>
      <c r="E8" s="5">
        <v>2.7</v>
      </c>
      <c r="F8" s="5">
        <v>530</v>
      </c>
      <c r="G8" s="5">
        <f>D8-C8</f>
        <v>1.2999999999999545</v>
      </c>
      <c r="H8" s="5">
        <f>F8-B8</f>
        <v>9.7999999999999545</v>
      </c>
      <c r="I8" s="5">
        <f>F8/B8</f>
        <v>1.0188389081122644</v>
      </c>
      <c r="J8" s="5">
        <f>65*I8</f>
        <v>66.22452902729718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3" customHeight="1">
      <c r="A9" s="2"/>
      <c r="B9" s="5"/>
      <c r="C9" s="5"/>
      <c r="D9" s="5"/>
      <c r="E9" s="5"/>
      <c r="F9" s="5"/>
      <c r="G9" s="5"/>
      <c r="H9" s="5"/>
      <c r="I9" s="5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3" customHeight="1">
      <c r="A10" s="4" t="s">
        <v>50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63</v>
      </c>
      <c r="G10" s="5"/>
      <c r="H10" s="5"/>
      <c r="I10" s="5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3" customHeight="1">
      <c r="A11" s="2" t="s">
        <v>70</v>
      </c>
      <c r="B11" s="5">
        <f>AVERAGE(B5:B8)</f>
        <v>521.17499999999995</v>
      </c>
      <c r="C11" s="5">
        <f>AVERAGE(F5:F8)</f>
        <v>529.25</v>
      </c>
      <c r="D11" s="5">
        <f>AVERAGE(G5:G8)</f>
        <v>2.5</v>
      </c>
      <c r="E11" s="5">
        <f>AVERAGE(E5:E8)</f>
        <v>2.4050000000000002</v>
      </c>
      <c r="F11" s="5">
        <f>AVERAGE(I5:I8)</f>
        <v>1.0154967919737969</v>
      </c>
      <c r="G11" s="5"/>
      <c r="H11" s="5"/>
      <c r="I11" s="5"/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3" customHeight="1">
      <c r="A12" s="2" t="s">
        <v>71</v>
      </c>
      <c r="B12" s="5">
        <f>MIN(B5:B8)</f>
        <v>519.29999999999995</v>
      </c>
      <c r="C12" s="5">
        <f>MIN(F5:F8)</f>
        <v>527</v>
      </c>
      <c r="D12" s="5">
        <f>MIN(G5:G8)</f>
        <v>1.2999999999999545</v>
      </c>
      <c r="E12" s="5">
        <f>MIN(E5:E8)</f>
        <v>2.02</v>
      </c>
      <c r="F12" s="5">
        <f>MIN(I5:I8)</f>
        <v>1.0135781220118569</v>
      </c>
      <c r="G12" s="5"/>
      <c r="H12" s="5"/>
      <c r="I12" s="5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3" customHeight="1">
      <c r="A13" s="2" t="s">
        <v>72</v>
      </c>
      <c r="B13" s="5">
        <f>MAX(B5:B8)</f>
        <v>522.9</v>
      </c>
      <c r="C13" s="5">
        <f>MAX(F5:F8)</f>
        <v>530</v>
      </c>
      <c r="D13" s="5">
        <f>MAX(G5:G8)</f>
        <v>4.3999999999999773</v>
      </c>
      <c r="E13" s="5">
        <f>MAX(E5:E8)</f>
        <v>2.81</v>
      </c>
      <c r="F13" s="5">
        <f>MAX(I5:I8)</f>
        <v>1.0188389081122644</v>
      </c>
      <c r="G13" s="5"/>
      <c r="H13" s="5"/>
      <c r="I13" s="5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3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3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3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3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3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3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3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3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3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2">
    <mergeCell ref="A1:K1"/>
    <mergeCell ref="A2:K2"/>
  </mergeCells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workbookViewId="0">
      <selection activeCell="G9" sqref="G9"/>
    </sheetView>
  </sheetViews>
  <sheetFormatPr defaultRowHeight="28.85" customHeight="1"/>
  <cols>
    <col min="1" max="5" width="22" customWidth="1"/>
    <col min="6" max="6" width="30" customWidth="1"/>
    <col min="7" max="9" width="22" customWidth="1"/>
    <col min="10" max="11" width="30" customWidth="1"/>
  </cols>
  <sheetData>
    <row r="1" spans="1:26" ht="28.85" customHeight="1">
      <c r="A1" s="11" t="s">
        <v>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85" customHeight="1">
      <c r="A2" s="12" t="s">
        <v>74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5" customHeight="1">
      <c r="A4" s="1" t="s">
        <v>44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75</v>
      </c>
      <c r="H4" s="1" t="s">
        <v>76</v>
      </c>
      <c r="I4" s="1" t="s">
        <v>77</v>
      </c>
      <c r="J4" s="1" t="s">
        <v>61</v>
      </c>
      <c r="K4" s="1" t="s">
        <v>78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5" customHeight="1">
      <c r="A5" s="2">
        <v>1</v>
      </c>
      <c r="B5" s="5">
        <v>520.20000000000005</v>
      </c>
      <c r="C5" s="5">
        <v>519.20000000000005</v>
      </c>
      <c r="D5" s="5">
        <v>521.29999999999995</v>
      </c>
      <c r="E5" s="5">
        <v>2.36</v>
      </c>
      <c r="F5" s="5">
        <v>525</v>
      </c>
      <c r="G5" s="5">
        <v>502.2</v>
      </c>
      <c r="H5" s="5">
        <f>G5-500</f>
        <v>2.1999999999999886</v>
      </c>
      <c r="I5" s="5">
        <f>B5-G5</f>
        <v>18.000000000000057</v>
      </c>
      <c r="J5" s="5">
        <f>D5-C5</f>
        <v>2.0999999999999091</v>
      </c>
      <c r="K5" s="7">
        <f>(F5-B5)/F5</f>
        <v>9.1428571428570568E-3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5" customHeight="1">
      <c r="A6" s="2">
        <v>2</v>
      </c>
      <c r="B6" s="5">
        <v>520.1</v>
      </c>
      <c r="C6" s="5">
        <v>518.9</v>
      </c>
      <c r="D6" s="5">
        <v>521.29999999999995</v>
      </c>
      <c r="E6" s="5">
        <v>2.83</v>
      </c>
      <c r="F6" s="5">
        <v>525</v>
      </c>
      <c r="G6" s="5">
        <v>501.3</v>
      </c>
      <c r="H6" s="5">
        <f>G6-500</f>
        <v>1.3000000000000114</v>
      </c>
      <c r="I6" s="5">
        <f>B6-G6</f>
        <v>18.800000000000011</v>
      </c>
      <c r="J6" s="5">
        <f>D6-C6</f>
        <v>2.3999999999999773</v>
      </c>
      <c r="K6" s="7">
        <f>(F6-B6)/F6</f>
        <v>9.3333333333332907E-3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5" customHeight="1">
      <c r="A7" s="2">
        <v>3</v>
      </c>
      <c r="B7" s="5">
        <v>520.9</v>
      </c>
      <c r="C7" s="5">
        <v>520.4</v>
      </c>
      <c r="D7" s="5">
        <v>521.4</v>
      </c>
      <c r="E7" s="5">
        <v>2.6</v>
      </c>
      <c r="F7" s="5">
        <v>525</v>
      </c>
      <c r="G7" s="5">
        <v>501.6</v>
      </c>
      <c r="H7" s="5">
        <f>G7-500</f>
        <v>1.6000000000000227</v>
      </c>
      <c r="I7" s="5">
        <f>B7-G7</f>
        <v>19.299999999999955</v>
      </c>
      <c r="J7" s="5">
        <f>D7-C7</f>
        <v>1</v>
      </c>
      <c r="K7" s="7">
        <f>(F7-B7)/F7</f>
        <v>7.809523809523853E-3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5" customHeight="1">
      <c r="A8" s="2"/>
      <c r="B8" s="5"/>
      <c r="C8" s="5"/>
      <c r="D8" s="5"/>
      <c r="E8" s="5"/>
      <c r="F8" s="5"/>
      <c r="G8" s="5"/>
      <c r="H8" s="5"/>
      <c r="I8" s="5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85" customHeight="1">
      <c r="A9" s="4" t="s">
        <v>50</v>
      </c>
      <c r="B9" s="6" t="s">
        <v>79</v>
      </c>
      <c r="C9" s="6" t="s">
        <v>80</v>
      </c>
      <c r="D9" s="6" t="s">
        <v>81</v>
      </c>
      <c r="E9" s="6" t="s">
        <v>82</v>
      </c>
      <c r="F9" s="6" t="s">
        <v>69</v>
      </c>
      <c r="G9" s="5"/>
      <c r="H9" s="5"/>
      <c r="I9" s="5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5" customHeight="1">
      <c r="A10" s="2" t="s">
        <v>70</v>
      </c>
      <c r="B10" s="5">
        <f>AVERAGE(B5:B7)</f>
        <v>520.40000000000009</v>
      </c>
      <c r="C10" s="5">
        <f>AVERAGE(G5:G7)</f>
        <v>501.7</v>
      </c>
      <c r="D10" s="5">
        <f>AVERAGE(H5:H7)</f>
        <v>1.7000000000000075</v>
      </c>
      <c r="E10" s="5">
        <f>AVERAGE(I5:I7)</f>
        <v>18.700000000000006</v>
      </c>
      <c r="F10" s="5">
        <f>AVERAGE(E5:E7)</f>
        <v>2.5966666666666662</v>
      </c>
      <c r="G10" s="5"/>
      <c r="H10" s="5"/>
      <c r="I10" s="5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85" customHeight="1">
      <c r="A11" s="2" t="s">
        <v>71</v>
      </c>
      <c r="B11" s="5">
        <f>MIN(B5:B7)</f>
        <v>520.1</v>
      </c>
      <c r="C11" s="5">
        <f>MIN(G5:G7)</f>
        <v>501.3</v>
      </c>
      <c r="D11" s="5">
        <f>MIN(H5:H7)</f>
        <v>1.3000000000000114</v>
      </c>
      <c r="E11" s="5">
        <f>MIN(I5:I7)</f>
        <v>18.000000000000057</v>
      </c>
      <c r="F11" s="5">
        <f>MIN(E5:E7)</f>
        <v>2.36</v>
      </c>
      <c r="G11" s="5"/>
      <c r="H11" s="5"/>
      <c r="I11" s="5"/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85" customHeight="1">
      <c r="A12" s="2" t="s">
        <v>72</v>
      </c>
      <c r="B12" s="5">
        <f>MAX(B5:B7)</f>
        <v>520.9</v>
      </c>
      <c r="C12" s="5">
        <f>MAX(G5:G7)</f>
        <v>502.2</v>
      </c>
      <c r="D12" s="5">
        <f>MAX(H5:H7)</f>
        <v>2.1999999999999886</v>
      </c>
      <c r="E12" s="5">
        <f>MAX(I5:I7)</f>
        <v>19.299999999999955</v>
      </c>
      <c r="F12" s="5">
        <f>MAX(E5:E7)</f>
        <v>2.83</v>
      </c>
      <c r="G12" s="5"/>
      <c r="H12" s="5"/>
      <c r="I12" s="5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8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8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8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8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8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8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8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8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8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8.8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.8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8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8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.8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8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8.8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8.8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8.8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8.8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8.8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8.8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8.8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8.8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8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8.8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8.8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8.8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8.8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8.8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8.8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8.8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8.8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8.8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8.8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8.8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8.8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8.8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2">
    <mergeCell ref="A1:K1"/>
    <mergeCell ref="A2:K2"/>
  </mergeCells>
  <phoneticPr fontId="7"/>
  <conditionalFormatting sqref="E5:E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"/>
  <sheetViews>
    <sheetView workbookViewId="0">
      <selection activeCell="D7" sqref="D7"/>
    </sheetView>
  </sheetViews>
  <sheetFormatPr defaultRowHeight="24.9" customHeight="1"/>
  <cols>
    <col min="1" max="5" width="22" customWidth="1"/>
    <col min="6" max="6" width="30" customWidth="1"/>
    <col min="7" max="9" width="22" customWidth="1"/>
    <col min="10" max="11" width="30" customWidth="1"/>
  </cols>
  <sheetData>
    <row r="1" spans="1:26" ht="24.9" customHeight="1">
      <c r="A1" s="11" t="s">
        <v>83</v>
      </c>
      <c r="B1" s="11"/>
      <c r="C1" s="11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3" customHeight="1">
      <c r="A2" s="12" t="s">
        <v>84</v>
      </c>
      <c r="B2" s="12"/>
      <c r="C2" s="12"/>
      <c r="D2" s="1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9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9" customHeight="1">
      <c r="A4" s="1" t="s">
        <v>44</v>
      </c>
      <c r="B4" s="1" t="s">
        <v>85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9" customHeight="1">
      <c r="A5" s="2">
        <v>1</v>
      </c>
      <c r="B5" s="5">
        <v>0.04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.9" customHeight="1">
      <c r="A6" s="2">
        <v>2</v>
      </c>
      <c r="B6" s="5">
        <v>-0.03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.9" customHeight="1">
      <c r="A7" s="2">
        <v>3</v>
      </c>
      <c r="B7" s="5">
        <v>0.05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.9" customHeight="1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.9" customHeight="1">
      <c r="A9" s="4" t="s">
        <v>50</v>
      </c>
      <c r="B9" s="6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9" customHeight="1">
      <c r="A10" s="2" t="s">
        <v>86</v>
      </c>
      <c r="B10" s="5">
        <f>AVERAGE(B5:B7)</f>
        <v>0.02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9" customHeight="1">
      <c r="A11" s="2" t="s">
        <v>87</v>
      </c>
      <c r="B11" s="5">
        <f>MAX(ABS(B5),ABS(B6),ABS(B7))</f>
        <v>0.05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.9" customHeight="1">
      <c r="A12" s="2" t="s">
        <v>88</v>
      </c>
      <c r="B12" s="5">
        <f>MAX(B5:B7)-MIN(B5:B7)</f>
        <v>0.08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9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9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9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.9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.9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.9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9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9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9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9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9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9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9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9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9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9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9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9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9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9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9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9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9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9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9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9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9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9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9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2">
    <mergeCell ref="A1:D1"/>
    <mergeCell ref="A2:D2"/>
  </mergeCells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0"/>
  <sheetViews>
    <sheetView workbookViewId="0">
      <selection activeCell="H21" sqref="H21"/>
    </sheetView>
  </sheetViews>
  <sheetFormatPr defaultRowHeight="18.899999999999999" customHeight="1"/>
  <cols>
    <col min="1" max="1" width="22" customWidth="1"/>
    <col min="2" max="2" width="28" customWidth="1"/>
    <col min="3" max="5" width="22" customWidth="1"/>
    <col min="6" max="6" width="30" customWidth="1"/>
    <col min="7" max="9" width="22" customWidth="1"/>
    <col min="10" max="10" width="32" customWidth="1"/>
    <col min="11" max="11" width="30" customWidth="1"/>
  </cols>
  <sheetData>
    <row r="1" spans="1:26" ht="18.899999999999999" customHeight="1">
      <c r="A1" s="11" t="s">
        <v>89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899999999999999" customHeight="1">
      <c r="A2" s="15" t="s">
        <v>90</v>
      </c>
      <c r="B2" s="15"/>
      <c r="C2" s="15"/>
      <c r="D2" s="15"/>
      <c r="E2" s="15"/>
      <c r="F2" s="15"/>
      <c r="G2" s="15"/>
      <c r="H2" s="15"/>
      <c r="I2" s="15"/>
      <c r="J2" s="1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899999999999999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89999999999999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899999999999999" customHeight="1">
      <c r="A5" s="1" t="s">
        <v>44</v>
      </c>
      <c r="B5" s="1" t="s">
        <v>91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92</v>
      </c>
      <c r="H5" s="1" t="s">
        <v>60</v>
      </c>
      <c r="I5" s="1" t="s">
        <v>61</v>
      </c>
      <c r="J5" s="1" t="s">
        <v>65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899999999999999" customHeight="1">
      <c r="A6" s="2">
        <v>1</v>
      </c>
      <c r="B6" s="2" t="s">
        <v>93</v>
      </c>
      <c r="C6" s="5">
        <v>1021</v>
      </c>
      <c r="D6" s="5">
        <v>1017.7</v>
      </c>
      <c r="E6" s="5">
        <v>1024.4000000000001</v>
      </c>
      <c r="F6" s="5">
        <v>4.5</v>
      </c>
      <c r="G6" s="5">
        <v>1004.2</v>
      </c>
      <c r="H6" s="5"/>
      <c r="I6" s="5">
        <f>E6-D6</f>
        <v>6.7000000000000455</v>
      </c>
      <c r="J6" s="16" t="s">
        <v>94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899999999999999" customHeight="1">
      <c r="A7" s="2">
        <v>2</v>
      </c>
      <c r="B7" s="2" t="s">
        <v>93</v>
      </c>
      <c r="C7" s="5">
        <v>1020.4</v>
      </c>
      <c r="D7" s="5">
        <v>1017.5</v>
      </c>
      <c r="E7" s="5">
        <v>1023.2</v>
      </c>
      <c r="F7" s="5">
        <v>4.26</v>
      </c>
      <c r="G7" s="5">
        <v>1002.8</v>
      </c>
      <c r="H7" s="5"/>
      <c r="I7" s="5">
        <f>E7-D7</f>
        <v>5.7000000000000455</v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899999999999999" customHeight="1">
      <c r="A8" s="2">
        <v>3</v>
      </c>
      <c r="B8" s="2" t="s">
        <v>95</v>
      </c>
      <c r="C8" s="5">
        <v>1022</v>
      </c>
      <c r="D8" s="5">
        <v>1024</v>
      </c>
      <c r="E8" s="5">
        <v>1019</v>
      </c>
      <c r="F8" s="5">
        <v>-0.23</v>
      </c>
      <c r="G8" s="5">
        <v>1004.2</v>
      </c>
      <c r="H8" s="5">
        <v>1030</v>
      </c>
      <c r="I8" s="5">
        <f>E8-D8</f>
        <v>-5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899999999999999" customHeight="1">
      <c r="A9" s="2">
        <v>4</v>
      </c>
      <c r="B9" s="2" t="s">
        <v>95</v>
      </c>
      <c r="C9" s="5">
        <v>1022.7</v>
      </c>
      <c r="D9" s="5">
        <v>1024.9000000000001</v>
      </c>
      <c r="E9" s="5">
        <v>1020.6</v>
      </c>
      <c r="F9" s="5">
        <v>-0.37</v>
      </c>
      <c r="G9" s="5">
        <v>1005.1</v>
      </c>
      <c r="H9" s="5">
        <v>1030</v>
      </c>
      <c r="I9" s="5">
        <f>E9-D9</f>
        <v>-4.3000000000000682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899999999999999" customHeight="1">
      <c r="A10" s="2">
        <v>5</v>
      </c>
      <c r="B10" s="2" t="s">
        <v>95</v>
      </c>
      <c r="C10" s="5">
        <v>1020.9</v>
      </c>
      <c r="D10" s="5">
        <v>1023.2</v>
      </c>
      <c r="E10" s="5">
        <v>1018.6</v>
      </c>
      <c r="F10" s="5">
        <v>-0.8</v>
      </c>
      <c r="G10" s="5">
        <v>1001.1</v>
      </c>
      <c r="H10" s="5">
        <v>1030</v>
      </c>
      <c r="I10" s="5">
        <f>E10-D10</f>
        <v>-4.6000000000000227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899999999999999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899999999999999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899999999999999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899999999999999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899999999999999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899999999999999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899999999999999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899999999999999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899999999999999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899999999999999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899999999999999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899999999999999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899999999999999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899999999999999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899999999999999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899999999999999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899999999999999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899999999999999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899999999999999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899999999999999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89999999999999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899999999999999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89999999999999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89999999999999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89999999999999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899999999999999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899999999999999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899999999999999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89999999999999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899999999999999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89999999999999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899999999999999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899999999999999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89999999999999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89999999999999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899999999999999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89999999999999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899999999999999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899999999999999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899999999999999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3">
    <mergeCell ref="A1:J1"/>
    <mergeCell ref="A2:J3"/>
    <mergeCell ref="J6:J7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Wheel Calibration</vt:lpstr>
      <vt:lpstr>Initial 500mm</vt:lpstr>
      <vt:lpstr>Baseline 500mm</vt:lpstr>
      <vt:lpstr>Stationary Yaw</vt:lpstr>
      <vt:lpstr>1000mm Pre-Fix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#SONG YICK QI#</cp:lastModifiedBy>
  <dcterms:modified xsi:type="dcterms:W3CDTF">2026-08-31T18:04:58Z</dcterms:modified>
</cp:coreProperties>
</file>