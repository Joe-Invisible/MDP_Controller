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DP\code\MDP_Controller\exp\arc_test\"/>
    </mc:Choice>
  </mc:AlternateContent>
  <xr:revisionPtr revIDLastSave="0" documentId="13_ncr:1_{3C4DE280-5D50-4AA5-A3B1-2DF6E2DB22BD}" xr6:coauthVersionLast="47" xr6:coauthVersionMax="47" xr10:uidLastSave="{00000000-0000-0000-0000-000000000000}"/>
  <bookViews>
    <workbookView xWindow="-96" yWindow="-96" windowWidth="23232" windowHeight="13872" firstSheet="3" activeTab="6" xr2:uid="{00000000-000D-0000-FFFF-FFFF00000000}"/>
  </bookViews>
  <sheets>
    <sheet name="Calibration_275" sheetId="9" r:id="rId1"/>
    <sheet name="Calibration_500" sheetId="8" r:id="rId2"/>
    <sheet name="Calibration_300" sheetId="7" r:id="rId3"/>
    <sheet name="Calibration_1000" sheetId="10" r:id="rId4"/>
    <sheet name="Calibration_2000" sheetId="13" r:id="rId5"/>
    <sheet name="Calibration_3000" sheetId="14" r:id="rId6"/>
    <sheet name="Calibration_6000" sheetId="15" r:id="rId7"/>
    <sheet name="Calibration_1500" sheetId="11" r:id="rId8"/>
    <sheet name="Calibration_-400" sheetId="12" r:id="rId9"/>
    <sheet name="Calibration_-300" sheetId="6" r:id="rId10"/>
    <sheet name="Calibration_-500" sheetId="5" r:id="rId11"/>
    <sheet name="Calibration_-1500" sheetId="4" r:id="rId12"/>
    <sheet name="Calibration_-1000" sheetId="3" r:id="rId13"/>
    <sheet name="Calibration_-2500" sheetId="1" r:id="rId14"/>
    <sheet name="Instructions" sheetId="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15" l="1"/>
  <c r="K64" i="15"/>
  <c r="R64" i="15" s="1"/>
  <c r="G64" i="15"/>
  <c r="D64" i="15"/>
  <c r="E64" i="15" s="1"/>
  <c r="J64" i="15" s="1"/>
  <c r="Q63" i="15"/>
  <c r="M63" i="15"/>
  <c r="K63" i="15"/>
  <c r="R63" i="15" s="1"/>
  <c r="G63" i="15"/>
  <c r="D63" i="15"/>
  <c r="E63" i="15" s="1"/>
  <c r="Q62" i="15"/>
  <c r="K62" i="15"/>
  <c r="R62" i="15" s="1"/>
  <c r="G62" i="15"/>
  <c r="D62" i="15"/>
  <c r="E62" i="15" s="1"/>
  <c r="J62" i="15" s="1"/>
  <c r="R61" i="15"/>
  <c r="Q61" i="15"/>
  <c r="K61" i="15"/>
  <c r="N61" i="15" s="1"/>
  <c r="G61" i="15"/>
  <c r="D61" i="15"/>
  <c r="E61" i="15" s="1"/>
  <c r="J61" i="15" s="1"/>
  <c r="Q60" i="15"/>
  <c r="K60" i="15"/>
  <c r="R60" i="15" s="1"/>
  <c r="G60" i="15"/>
  <c r="D60" i="15"/>
  <c r="E60" i="15" s="1"/>
  <c r="J60" i="15" s="1"/>
  <c r="Q59" i="15"/>
  <c r="K59" i="15"/>
  <c r="R59" i="15" s="1"/>
  <c r="G59" i="15"/>
  <c r="D59" i="15"/>
  <c r="E59" i="15" s="1"/>
  <c r="J59" i="15" s="1"/>
  <c r="R58" i="15"/>
  <c r="Q58" i="15"/>
  <c r="M58" i="15"/>
  <c r="K58" i="15"/>
  <c r="G58" i="15"/>
  <c r="D58" i="15"/>
  <c r="E58" i="15" s="1"/>
  <c r="Q57" i="15"/>
  <c r="K57" i="15"/>
  <c r="R57" i="15" s="1"/>
  <c r="G57" i="15"/>
  <c r="E57" i="15"/>
  <c r="J57" i="15" s="1"/>
  <c r="D57" i="15"/>
  <c r="Q56" i="15"/>
  <c r="M56" i="15"/>
  <c r="K56" i="15"/>
  <c r="R56" i="15" s="1"/>
  <c r="G56" i="15"/>
  <c r="D56" i="15"/>
  <c r="E56" i="15" s="1"/>
  <c r="J56" i="15" s="1"/>
  <c r="Q55" i="15"/>
  <c r="M55" i="15"/>
  <c r="K55" i="15"/>
  <c r="R55" i="15" s="1"/>
  <c r="G55" i="15"/>
  <c r="D55" i="15"/>
  <c r="E55" i="15" s="1"/>
  <c r="Q54" i="15"/>
  <c r="K54" i="15"/>
  <c r="R54" i="15" s="1"/>
  <c r="G54" i="15"/>
  <c r="D54" i="15"/>
  <c r="E54" i="15" s="1"/>
  <c r="J54" i="15" s="1"/>
  <c r="R53" i="15"/>
  <c r="Q53" i="15"/>
  <c r="K53" i="15"/>
  <c r="G53" i="15"/>
  <c r="D53" i="15"/>
  <c r="E53" i="15" s="1"/>
  <c r="J53" i="15" s="1"/>
  <c r="Q52" i="15"/>
  <c r="K52" i="15"/>
  <c r="R52" i="15" s="1"/>
  <c r="G52" i="15"/>
  <c r="D52" i="15"/>
  <c r="E52" i="15" s="1"/>
  <c r="J52" i="15" s="1"/>
  <c r="Q51" i="15"/>
  <c r="K51" i="15"/>
  <c r="R51" i="15" s="1"/>
  <c r="G51" i="15"/>
  <c r="D51" i="15"/>
  <c r="E51" i="15" s="1"/>
  <c r="J51" i="15" s="1"/>
  <c r="R50" i="15"/>
  <c r="Q50" i="15"/>
  <c r="M50" i="15"/>
  <c r="K50" i="15"/>
  <c r="G50" i="15"/>
  <c r="D50" i="15"/>
  <c r="E50" i="15" s="1"/>
  <c r="Q49" i="15"/>
  <c r="K49" i="15"/>
  <c r="R49" i="15" s="1"/>
  <c r="G49" i="15"/>
  <c r="D49" i="15"/>
  <c r="E49" i="15" s="1"/>
  <c r="J49" i="15" s="1"/>
  <c r="Q48" i="15"/>
  <c r="M48" i="15"/>
  <c r="K48" i="15"/>
  <c r="R48" i="15" s="1"/>
  <c r="G48" i="15"/>
  <c r="D48" i="15"/>
  <c r="E48" i="15" s="1"/>
  <c r="J48" i="15" s="1"/>
  <c r="Q47" i="15"/>
  <c r="M47" i="15"/>
  <c r="K47" i="15"/>
  <c r="R47" i="15" s="1"/>
  <c r="G47" i="15"/>
  <c r="D47" i="15"/>
  <c r="E47" i="15" s="1"/>
  <c r="Q46" i="15"/>
  <c r="K46" i="15"/>
  <c r="R46" i="15" s="1"/>
  <c r="G46" i="15"/>
  <c r="D46" i="15"/>
  <c r="E46" i="15" s="1"/>
  <c r="J46" i="15" s="1"/>
  <c r="R45" i="15"/>
  <c r="Q45" i="15"/>
  <c r="K45" i="15"/>
  <c r="G45" i="15"/>
  <c r="D45" i="15"/>
  <c r="E45" i="15" s="1"/>
  <c r="J45" i="15" s="1"/>
  <c r="Q44" i="15"/>
  <c r="K44" i="15"/>
  <c r="R44" i="15" s="1"/>
  <c r="G44" i="15"/>
  <c r="D44" i="15"/>
  <c r="E44" i="15" s="1"/>
  <c r="J44" i="15" s="1"/>
  <c r="Q43" i="15"/>
  <c r="K43" i="15"/>
  <c r="R43" i="15" s="1"/>
  <c r="G43" i="15"/>
  <c r="D43" i="15"/>
  <c r="E43" i="15" s="1"/>
  <c r="J43" i="15" s="1"/>
  <c r="R42" i="15"/>
  <c r="Q42" i="15"/>
  <c r="M42" i="15"/>
  <c r="K42" i="15"/>
  <c r="G42" i="15"/>
  <c r="D42" i="15"/>
  <c r="E42" i="15" s="1"/>
  <c r="Q41" i="15"/>
  <c r="K41" i="15"/>
  <c r="R41" i="15" s="1"/>
  <c r="G41" i="15"/>
  <c r="E41" i="15"/>
  <c r="J41" i="15" s="1"/>
  <c r="D41" i="15"/>
  <c r="Q40" i="15"/>
  <c r="M40" i="15"/>
  <c r="K40" i="15"/>
  <c r="R40" i="15" s="1"/>
  <c r="G40" i="15"/>
  <c r="D40" i="15"/>
  <c r="E40" i="15" s="1"/>
  <c r="J40" i="15" s="1"/>
  <c r="Q39" i="15"/>
  <c r="M39" i="15"/>
  <c r="K39" i="15"/>
  <c r="R39" i="15" s="1"/>
  <c r="G39" i="15"/>
  <c r="D39" i="15"/>
  <c r="E39" i="15" s="1"/>
  <c r="Q38" i="15"/>
  <c r="K38" i="15"/>
  <c r="R38" i="15" s="1"/>
  <c r="G38" i="15"/>
  <c r="D38" i="15"/>
  <c r="E38" i="15" s="1"/>
  <c r="J38" i="15" s="1"/>
  <c r="R37" i="15"/>
  <c r="Q37" i="15"/>
  <c r="K37" i="15"/>
  <c r="G37" i="15"/>
  <c r="D37" i="15"/>
  <c r="E37" i="15" s="1"/>
  <c r="J37" i="15" s="1"/>
  <c r="Q36" i="15"/>
  <c r="K36" i="15"/>
  <c r="R36" i="15" s="1"/>
  <c r="G36" i="15"/>
  <c r="D36" i="15"/>
  <c r="E36" i="15" s="1"/>
  <c r="J36" i="15" s="1"/>
  <c r="Q35" i="15"/>
  <c r="K35" i="15"/>
  <c r="R35" i="15" s="1"/>
  <c r="G35" i="15"/>
  <c r="D35" i="15"/>
  <c r="E35" i="15" s="1"/>
  <c r="J35" i="15" s="1"/>
  <c r="R34" i="15"/>
  <c r="Q34" i="15"/>
  <c r="M34" i="15"/>
  <c r="K34" i="15"/>
  <c r="L34" i="15" s="1"/>
  <c r="G34" i="15"/>
  <c r="D34" i="15"/>
  <c r="E34" i="15" s="1"/>
  <c r="Q33" i="15"/>
  <c r="K33" i="15"/>
  <c r="R33" i="15" s="1"/>
  <c r="G33" i="15"/>
  <c r="E33" i="15"/>
  <c r="J33" i="15" s="1"/>
  <c r="D33" i="15"/>
  <c r="Q32" i="15"/>
  <c r="K32" i="15"/>
  <c r="R32" i="15" s="1"/>
  <c r="G32" i="15"/>
  <c r="D32" i="15"/>
  <c r="E32" i="15" s="1"/>
  <c r="J32" i="15" s="1"/>
  <c r="Q31" i="15"/>
  <c r="M31" i="15"/>
  <c r="K31" i="15"/>
  <c r="R31" i="15" s="1"/>
  <c r="G31" i="15"/>
  <c r="D31" i="15"/>
  <c r="E31" i="15" s="1"/>
  <c r="Q30" i="15"/>
  <c r="K30" i="15"/>
  <c r="R30" i="15" s="1"/>
  <c r="G30" i="15"/>
  <c r="D30" i="15"/>
  <c r="E30" i="15" s="1"/>
  <c r="J30" i="15" s="1"/>
  <c r="R29" i="15"/>
  <c r="Q29" i="15"/>
  <c r="K29" i="15"/>
  <c r="N29" i="15" s="1"/>
  <c r="G29" i="15"/>
  <c r="D29" i="15"/>
  <c r="E29" i="15" s="1"/>
  <c r="J29" i="15" s="1"/>
  <c r="Q28" i="15"/>
  <c r="K28" i="15"/>
  <c r="R28" i="15" s="1"/>
  <c r="G28" i="15"/>
  <c r="D28" i="15"/>
  <c r="E28" i="15" s="1"/>
  <c r="J28" i="15" s="1"/>
  <c r="Q27" i="15"/>
  <c r="K27" i="15"/>
  <c r="R27" i="15" s="1"/>
  <c r="G27" i="15"/>
  <c r="D27" i="15"/>
  <c r="E27" i="15" s="1"/>
  <c r="J27" i="15" s="1"/>
  <c r="R26" i="15"/>
  <c r="Q26" i="15"/>
  <c r="M26" i="15"/>
  <c r="K26" i="15"/>
  <c r="G26" i="15"/>
  <c r="D26" i="15"/>
  <c r="E26" i="15" s="1"/>
  <c r="Q25" i="15"/>
  <c r="K25" i="15"/>
  <c r="R25" i="15" s="1"/>
  <c r="G25" i="15"/>
  <c r="D25" i="15"/>
  <c r="E25" i="15" s="1"/>
  <c r="J25" i="15" s="1"/>
  <c r="Q24" i="15"/>
  <c r="K24" i="15"/>
  <c r="R24" i="15" s="1"/>
  <c r="G24" i="15"/>
  <c r="D24" i="15"/>
  <c r="E24" i="15" s="1"/>
  <c r="J24" i="15" s="1"/>
  <c r="Q23" i="15"/>
  <c r="M23" i="15"/>
  <c r="K23" i="15"/>
  <c r="R23" i="15" s="1"/>
  <c r="G23" i="15"/>
  <c r="D23" i="15"/>
  <c r="E23" i="15" s="1"/>
  <c r="Q22" i="15"/>
  <c r="K22" i="15"/>
  <c r="R22" i="15" s="1"/>
  <c r="G22" i="15"/>
  <c r="D22" i="15"/>
  <c r="E22" i="15" s="1"/>
  <c r="J22" i="15" s="1"/>
  <c r="R21" i="15"/>
  <c r="Q21" i="15"/>
  <c r="K21" i="15"/>
  <c r="G21" i="15"/>
  <c r="D21" i="15"/>
  <c r="E21" i="15" s="1"/>
  <c r="J21" i="15" s="1"/>
  <c r="Q20" i="15"/>
  <c r="K20" i="15"/>
  <c r="R20" i="15" s="1"/>
  <c r="G20" i="15"/>
  <c r="D20" i="15"/>
  <c r="E20" i="15" s="1"/>
  <c r="J20" i="15" s="1"/>
  <c r="Q19" i="15"/>
  <c r="K19" i="15"/>
  <c r="R19" i="15" s="1"/>
  <c r="G19" i="15"/>
  <c r="D19" i="15"/>
  <c r="E19" i="15" s="1"/>
  <c r="J19" i="15" s="1"/>
  <c r="R18" i="15"/>
  <c r="Q18" i="15"/>
  <c r="M18" i="15"/>
  <c r="K18" i="15"/>
  <c r="G18" i="15"/>
  <c r="D18" i="15"/>
  <c r="E18" i="15" s="1"/>
  <c r="Q17" i="15"/>
  <c r="K17" i="15"/>
  <c r="R17" i="15" s="1"/>
  <c r="G17" i="15"/>
  <c r="E17" i="15"/>
  <c r="J17" i="15" s="1"/>
  <c r="D17" i="15"/>
  <c r="Q16" i="15"/>
  <c r="K16" i="15"/>
  <c r="R16" i="15" s="1"/>
  <c r="G16" i="15"/>
  <c r="D16" i="15"/>
  <c r="E16" i="15" s="1"/>
  <c r="J16" i="15" s="1"/>
  <c r="Q15" i="15"/>
  <c r="K15" i="15"/>
  <c r="R15" i="15" s="1"/>
  <c r="G15" i="15"/>
  <c r="D15" i="15"/>
  <c r="E15" i="15" s="1"/>
  <c r="E10" i="15"/>
  <c r="E9" i="15"/>
  <c r="E8" i="15"/>
  <c r="B8" i="15"/>
  <c r="H8" i="15" s="1"/>
  <c r="H7" i="15"/>
  <c r="E7" i="15"/>
  <c r="H5" i="15"/>
  <c r="H6" i="15" s="1"/>
  <c r="Q64" i="14"/>
  <c r="K64" i="14"/>
  <c r="R64" i="14" s="1"/>
  <c r="G64" i="14"/>
  <c r="D64" i="14"/>
  <c r="E64" i="14" s="1"/>
  <c r="J64" i="14" s="1"/>
  <c r="R63" i="14"/>
  <c r="Q63" i="14"/>
  <c r="K63" i="14"/>
  <c r="M63" i="14" s="1"/>
  <c r="G63" i="14"/>
  <c r="D63" i="14"/>
  <c r="E63" i="14" s="1"/>
  <c r="J63" i="14" s="1"/>
  <c r="Q62" i="14"/>
  <c r="K62" i="14"/>
  <c r="R62" i="14" s="1"/>
  <c r="G62" i="14"/>
  <c r="D62" i="14"/>
  <c r="E62" i="14" s="1"/>
  <c r="R61" i="14"/>
  <c r="Q61" i="14"/>
  <c r="M61" i="14"/>
  <c r="K61" i="14"/>
  <c r="G61" i="14"/>
  <c r="D61" i="14"/>
  <c r="E61" i="14" s="1"/>
  <c r="L61" i="14" s="1"/>
  <c r="R60" i="14"/>
  <c r="Q60" i="14"/>
  <c r="K60" i="14"/>
  <c r="M60" i="14" s="1"/>
  <c r="G60" i="14"/>
  <c r="D60" i="14"/>
  <c r="E60" i="14" s="1"/>
  <c r="Q59" i="14"/>
  <c r="M59" i="14"/>
  <c r="K59" i="14"/>
  <c r="R59" i="14" s="1"/>
  <c r="G59" i="14"/>
  <c r="D59" i="14"/>
  <c r="E59" i="14" s="1"/>
  <c r="Q58" i="14"/>
  <c r="K58" i="14"/>
  <c r="G58" i="14"/>
  <c r="D58" i="14"/>
  <c r="E58" i="14" s="1"/>
  <c r="J58" i="14" s="1"/>
  <c r="R57" i="14"/>
  <c r="Q57" i="14"/>
  <c r="M57" i="14"/>
  <c r="K57" i="14"/>
  <c r="G57" i="14"/>
  <c r="D57" i="14"/>
  <c r="E57" i="14" s="1"/>
  <c r="Q56" i="14"/>
  <c r="K56" i="14"/>
  <c r="R56" i="14" s="1"/>
  <c r="G56" i="14"/>
  <c r="D56" i="14"/>
  <c r="E56" i="14" s="1"/>
  <c r="J56" i="14" s="1"/>
  <c r="R55" i="14"/>
  <c r="Q55" i="14"/>
  <c r="M55" i="14"/>
  <c r="K55" i="14"/>
  <c r="G55" i="14"/>
  <c r="E55" i="14"/>
  <c r="J55" i="14" s="1"/>
  <c r="D55" i="14"/>
  <c r="Q54" i="14"/>
  <c r="M54" i="14"/>
  <c r="K54" i="14"/>
  <c r="R54" i="14" s="1"/>
  <c r="G54" i="14"/>
  <c r="D54" i="14"/>
  <c r="E54" i="14" s="1"/>
  <c r="R53" i="14"/>
  <c r="Q53" i="14"/>
  <c r="M53" i="14"/>
  <c r="K53" i="14"/>
  <c r="G53" i="14"/>
  <c r="E53" i="14"/>
  <c r="L53" i="14" s="1"/>
  <c r="D53" i="14"/>
  <c r="R52" i="14"/>
  <c r="Q52" i="14"/>
  <c r="K52" i="14"/>
  <c r="M52" i="14" s="1"/>
  <c r="G52" i="14"/>
  <c r="D52" i="14"/>
  <c r="E52" i="14" s="1"/>
  <c r="Q51" i="14"/>
  <c r="M51" i="14"/>
  <c r="K51" i="14"/>
  <c r="R51" i="14" s="1"/>
  <c r="G51" i="14"/>
  <c r="D51" i="14"/>
  <c r="E51" i="14" s="1"/>
  <c r="Q50" i="14"/>
  <c r="K50" i="14"/>
  <c r="L50" i="14" s="1"/>
  <c r="G50" i="14"/>
  <c r="D50" i="14"/>
  <c r="E50" i="14" s="1"/>
  <c r="J50" i="14" s="1"/>
  <c r="R49" i="14"/>
  <c r="Q49" i="14"/>
  <c r="M49" i="14"/>
  <c r="K49" i="14"/>
  <c r="G49" i="14"/>
  <c r="D49" i="14"/>
  <c r="E49" i="14" s="1"/>
  <c r="Q48" i="14"/>
  <c r="K48" i="14"/>
  <c r="R48" i="14" s="1"/>
  <c r="G48" i="14"/>
  <c r="D48" i="14"/>
  <c r="E48" i="14" s="1"/>
  <c r="J48" i="14" s="1"/>
  <c r="R47" i="14"/>
  <c r="Q47" i="14"/>
  <c r="M47" i="14"/>
  <c r="K47" i="14"/>
  <c r="G47" i="14"/>
  <c r="D47" i="14"/>
  <c r="E47" i="14" s="1"/>
  <c r="Q46" i="14"/>
  <c r="M46" i="14"/>
  <c r="K46" i="14"/>
  <c r="R46" i="14" s="1"/>
  <c r="G46" i="14"/>
  <c r="E46" i="14"/>
  <c r="N46" i="14" s="1"/>
  <c r="D46" i="14"/>
  <c r="R45" i="14"/>
  <c r="Q45" i="14"/>
  <c r="M45" i="14"/>
  <c r="K45" i="14"/>
  <c r="G45" i="14"/>
  <c r="D45" i="14"/>
  <c r="E45" i="14" s="1"/>
  <c r="L45" i="14" s="1"/>
  <c r="R44" i="14"/>
  <c r="Q44" i="14"/>
  <c r="K44" i="14"/>
  <c r="M44" i="14" s="1"/>
  <c r="G44" i="14"/>
  <c r="D44" i="14"/>
  <c r="E44" i="14" s="1"/>
  <c r="Q43" i="14"/>
  <c r="M43" i="14"/>
  <c r="L43" i="14"/>
  <c r="K43" i="14"/>
  <c r="R43" i="14" s="1"/>
  <c r="J43" i="14"/>
  <c r="G43" i="14"/>
  <c r="E43" i="14"/>
  <c r="D43" i="14"/>
  <c r="Q42" i="14"/>
  <c r="K42" i="14"/>
  <c r="G42" i="14"/>
  <c r="D42" i="14"/>
  <c r="E42" i="14" s="1"/>
  <c r="R41" i="14"/>
  <c r="Q41" i="14"/>
  <c r="M41" i="14"/>
  <c r="K41" i="14"/>
  <c r="G41" i="14"/>
  <c r="E41" i="14"/>
  <c r="L41" i="14" s="1"/>
  <c r="D41" i="14"/>
  <c r="Q40" i="14"/>
  <c r="K40" i="14"/>
  <c r="R40" i="14" s="1"/>
  <c r="G40" i="14"/>
  <c r="D40" i="14"/>
  <c r="E40" i="14" s="1"/>
  <c r="J40" i="14" s="1"/>
  <c r="R39" i="14"/>
  <c r="Q39" i="14"/>
  <c r="M39" i="14"/>
  <c r="K39" i="14"/>
  <c r="G39" i="14"/>
  <c r="D39" i="14"/>
  <c r="E39" i="14" s="1"/>
  <c r="Q38" i="14"/>
  <c r="M38" i="14"/>
  <c r="K38" i="14"/>
  <c r="R38" i="14" s="1"/>
  <c r="G38" i="14"/>
  <c r="D38" i="14"/>
  <c r="E38" i="14" s="1"/>
  <c r="R37" i="14"/>
  <c r="Q37" i="14"/>
  <c r="M37" i="14"/>
  <c r="K37" i="14"/>
  <c r="G37" i="14"/>
  <c r="D37" i="14"/>
  <c r="E37" i="14" s="1"/>
  <c r="L37" i="14" s="1"/>
  <c r="R36" i="14"/>
  <c r="Q36" i="14"/>
  <c r="K36" i="14"/>
  <c r="M36" i="14" s="1"/>
  <c r="G36" i="14"/>
  <c r="D36" i="14"/>
  <c r="E36" i="14" s="1"/>
  <c r="Q35" i="14"/>
  <c r="M35" i="14"/>
  <c r="K35" i="14"/>
  <c r="R35" i="14" s="1"/>
  <c r="G35" i="14"/>
  <c r="D35" i="14"/>
  <c r="E35" i="14" s="1"/>
  <c r="Q34" i="14"/>
  <c r="K34" i="14"/>
  <c r="G34" i="14"/>
  <c r="D34" i="14"/>
  <c r="E34" i="14" s="1"/>
  <c r="R33" i="14"/>
  <c r="Q33" i="14"/>
  <c r="M33" i="14"/>
  <c r="K33" i="14"/>
  <c r="G33" i="14"/>
  <c r="D33" i="14"/>
  <c r="E33" i="14" s="1"/>
  <c r="Q32" i="14"/>
  <c r="K32" i="14"/>
  <c r="R32" i="14" s="1"/>
  <c r="G32" i="14"/>
  <c r="D32" i="14"/>
  <c r="E32" i="14" s="1"/>
  <c r="J32" i="14" s="1"/>
  <c r="R31" i="14"/>
  <c r="Q31" i="14"/>
  <c r="M31" i="14"/>
  <c r="K31" i="14"/>
  <c r="G31" i="14"/>
  <c r="D31" i="14"/>
  <c r="E31" i="14" s="1"/>
  <c r="Q30" i="14"/>
  <c r="K30" i="14"/>
  <c r="R30" i="14" s="1"/>
  <c r="G30" i="14"/>
  <c r="D30" i="14"/>
  <c r="E30" i="14" s="1"/>
  <c r="R29" i="14"/>
  <c r="Q29" i="14"/>
  <c r="M29" i="14"/>
  <c r="K29" i="14"/>
  <c r="N29" i="14" s="1"/>
  <c r="G29" i="14"/>
  <c r="E29" i="14"/>
  <c r="L29" i="14" s="1"/>
  <c r="D29" i="14"/>
  <c r="R28" i="14"/>
  <c r="Q28" i="14"/>
  <c r="K28" i="14"/>
  <c r="M28" i="14" s="1"/>
  <c r="G28" i="14"/>
  <c r="D28" i="14"/>
  <c r="E28" i="14" s="1"/>
  <c r="Q27" i="14"/>
  <c r="M27" i="14"/>
  <c r="K27" i="14"/>
  <c r="R27" i="14" s="1"/>
  <c r="G27" i="14"/>
  <c r="D27" i="14"/>
  <c r="E27" i="14" s="1"/>
  <c r="Q26" i="14"/>
  <c r="K26" i="14"/>
  <c r="G26" i="14"/>
  <c r="D26" i="14"/>
  <c r="E26" i="14" s="1"/>
  <c r="R25" i="14"/>
  <c r="Q25" i="14"/>
  <c r="M25" i="14"/>
  <c r="K25" i="14"/>
  <c r="G25" i="14"/>
  <c r="D25" i="14"/>
  <c r="E25" i="14" s="1"/>
  <c r="Q24" i="14"/>
  <c r="K24" i="14"/>
  <c r="R24" i="14" s="1"/>
  <c r="G24" i="14"/>
  <c r="E24" i="14"/>
  <c r="J24" i="14" s="1"/>
  <c r="D24" i="14"/>
  <c r="R23" i="14"/>
  <c r="Q23" i="14"/>
  <c r="M23" i="14"/>
  <c r="K23" i="14"/>
  <c r="G23" i="14"/>
  <c r="D23" i="14"/>
  <c r="E23" i="14" s="1"/>
  <c r="Q22" i="14"/>
  <c r="K22" i="14"/>
  <c r="R22" i="14" s="1"/>
  <c r="G22" i="14"/>
  <c r="D22" i="14"/>
  <c r="E22" i="14" s="1"/>
  <c r="R21" i="14"/>
  <c r="Q21" i="14"/>
  <c r="M21" i="14"/>
  <c r="K21" i="14"/>
  <c r="G21" i="14"/>
  <c r="E21" i="14"/>
  <c r="L21" i="14" s="1"/>
  <c r="D21" i="14"/>
  <c r="R20" i="14"/>
  <c r="Q20" i="14"/>
  <c r="K20" i="14"/>
  <c r="G20" i="14"/>
  <c r="D20" i="14"/>
  <c r="E20" i="14" s="1"/>
  <c r="J20" i="14" s="1"/>
  <c r="Q19" i="14"/>
  <c r="M19" i="14"/>
  <c r="K19" i="14"/>
  <c r="R19" i="14" s="1"/>
  <c r="G19" i="14"/>
  <c r="D19" i="14"/>
  <c r="E19" i="14" s="1"/>
  <c r="Q18" i="14"/>
  <c r="K18" i="14"/>
  <c r="G18" i="14"/>
  <c r="D18" i="14"/>
  <c r="E18" i="14" s="1"/>
  <c r="R17" i="14"/>
  <c r="Q17" i="14"/>
  <c r="M17" i="14"/>
  <c r="K17" i="14"/>
  <c r="G17" i="14"/>
  <c r="E17" i="14"/>
  <c r="L17" i="14" s="1"/>
  <c r="D17" i="14"/>
  <c r="Q16" i="14"/>
  <c r="M16" i="14"/>
  <c r="K16" i="14"/>
  <c r="R16" i="14" s="1"/>
  <c r="G16" i="14"/>
  <c r="D16" i="14"/>
  <c r="E16" i="14" s="1"/>
  <c r="J16" i="14" s="1"/>
  <c r="Q15" i="14"/>
  <c r="K15" i="14"/>
  <c r="R15" i="14" s="1"/>
  <c r="G15" i="14"/>
  <c r="D15" i="14"/>
  <c r="E15" i="14" s="1"/>
  <c r="E10" i="14"/>
  <c r="E9" i="14"/>
  <c r="E8" i="14"/>
  <c r="B8" i="14"/>
  <c r="H8" i="14" s="1"/>
  <c r="E7" i="14"/>
  <c r="Q64" i="13"/>
  <c r="K64" i="13"/>
  <c r="R64" i="13" s="1"/>
  <c r="G64" i="13"/>
  <c r="D64" i="13"/>
  <c r="E64" i="13" s="1"/>
  <c r="J64" i="13" s="1"/>
  <c r="Q63" i="13"/>
  <c r="K63" i="13"/>
  <c r="R63" i="13" s="1"/>
  <c r="G63" i="13"/>
  <c r="D63" i="13"/>
  <c r="E63" i="13" s="1"/>
  <c r="J63" i="13" s="1"/>
  <c r="Q62" i="13"/>
  <c r="K62" i="13"/>
  <c r="R62" i="13" s="1"/>
  <c r="G62" i="13"/>
  <c r="D62" i="13"/>
  <c r="E62" i="13" s="1"/>
  <c r="J62" i="13" s="1"/>
  <c r="Q61" i="13"/>
  <c r="K61" i="13"/>
  <c r="G61" i="13"/>
  <c r="D61" i="13"/>
  <c r="E61" i="13" s="1"/>
  <c r="J61" i="13" s="1"/>
  <c r="Q60" i="13"/>
  <c r="K60" i="13"/>
  <c r="R60" i="13" s="1"/>
  <c r="G60" i="13"/>
  <c r="D60" i="13"/>
  <c r="E60" i="13" s="1"/>
  <c r="J60" i="13" s="1"/>
  <c r="Q59" i="13"/>
  <c r="M59" i="13"/>
  <c r="K59" i="13"/>
  <c r="R59" i="13" s="1"/>
  <c r="G59" i="13"/>
  <c r="D59" i="13"/>
  <c r="E59" i="13" s="1"/>
  <c r="J59" i="13" s="1"/>
  <c r="Q58" i="13"/>
  <c r="K58" i="13"/>
  <c r="G58" i="13"/>
  <c r="D58" i="13"/>
  <c r="E58" i="13" s="1"/>
  <c r="J58" i="13" s="1"/>
  <c r="Q57" i="13"/>
  <c r="M57" i="13"/>
  <c r="K57" i="13"/>
  <c r="R57" i="13" s="1"/>
  <c r="G57" i="13"/>
  <c r="D57" i="13"/>
  <c r="E57" i="13" s="1"/>
  <c r="J57" i="13" s="1"/>
  <c r="Q56" i="13"/>
  <c r="K56" i="13"/>
  <c r="R56" i="13" s="1"/>
  <c r="G56" i="13"/>
  <c r="D56" i="13"/>
  <c r="E56" i="13" s="1"/>
  <c r="J56" i="13" s="1"/>
  <c r="Q55" i="13"/>
  <c r="M55" i="13"/>
  <c r="K55" i="13"/>
  <c r="R55" i="13" s="1"/>
  <c r="G55" i="13"/>
  <c r="D55" i="13"/>
  <c r="E55" i="13" s="1"/>
  <c r="J55" i="13" s="1"/>
  <c r="Q54" i="13"/>
  <c r="K54" i="13"/>
  <c r="R54" i="13" s="1"/>
  <c r="G54" i="13"/>
  <c r="D54" i="13"/>
  <c r="E54" i="13" s="1"/>
  <c r="J54" i="13" s="1"/>
  <c r="Q53" i="13"/>
  <c r="M53" i="13"/>
  <c r="K53" i="13"/>
  <c r="G53" i="13"/>
  <c r="D53" i="13"/>
  <c r="E53" i="13" s="1"/>
  <c r="J53" i="13" s="1"/>
  <c r="Q52" i="13"/>
  <c r="K52" i="13"/>
  <c r="R52" i="13" s="1"/>
  <c r="G52" i="13"/>
  <c r="D52" i="13"/>
  <c r="E52" i="13" s="1"/>
  <c r="J52" i="13" s="1"/>
  <c r="Q51" i="13"/>
  <c r="M51" i="13"/>
  <c r="K51" i="13"/>
  <c r="R51" i="13" s="1"/>
  <c r="G51" i="13"/>
  <c r="D51" i="13"/>
  <c r="E51" i="13" s="1"/>
  <c r="J51" i="13" s="1"/>
  <c r="Q50" i="13"/>
  <c r="K50" i="13"/>
  <c r="L50" i="13" s="1"/>
  <c r="G50" i="13"/>
  <c r="D50" i="13"/>
  <c r="E50" i="13" s="1"/>
  <c r="J50" i="13" s="1"/>
  <c r="Q49" i="13"/>
  <c r="M49" i="13"/>
  <c r="K49" i="13"/>
  <c r="R49" i="13" s="1"/>
  <c r="G49" i="13"/>
  <c r="D49" i="13"/>
  <c r="E49" i="13" s="1"/>
  <c r="J49" i="13" s="1"/>
  <c r="Q48" i="13"/>
  <c r="K48" i="13"/>
  <c r="R48" i="13" s="1"/>
  <c r="G48" i="13"/>
  <c r="D48" i="13"/>
  <c r="E48" i="13" s="1"/>
  <c r="J48" i="13" s="1"/>
  <c r="Q47" i="13"/>
  <c r="M47" i="13"/>
  <c r="K47" i="13"/>
  <c r="R47" i="13" s="1"/>
  <c r="G47" i="13"/>
  <c r="D47" i="13"/>
  <c r="E47" i="13" s="1"/>
  <c r="J47" i="13" s="1"/>
  <c r="Q46" i="13"/>
  <c r="K46" i="13"/>
  <c r="R46" i="13" s="1"/>
  <c r="G46" i="13"/>
  <c r="D46" i="13"/>
  <c r="E46" i="13" s="1"/>
  <c r="J46" i="13" s="1"/>
  <c r="Q45" i="13"/>
  <c r="M45" i="13"/>
  <c r="K45" i="13"/>
  <c r="G45" i="13"/>
  <c r="D45" i="13"/>
  <c r="E45" i="13" s="1"/>
  <c r="J45" i="13" s="1"/>
  <c r="Q44" i="13"/>
  <c r="K44" i="13"/>
  <c r="R44" i="13" s="1"/>
  <c r="G44" i="13"/>
  <c r="D44" i="13"/>
  <c r="E44" i="13" s="1"/>
  <c r="J44" i="13" s="1"/>
  <c r="Q43" i="13"/>
  <c r="M43" i="13"/>
  <c r="K43" i="13"/>
  <c r="R43" i="13" s="1"/>
  <c r="G43" i="13"/>
  <c r="D43" i="13"/>
  <c r="E43" i="13" s="1"/>
  <c r="J43" i="13" s="1"/>
  <c r="Q42" i="13"/>
  <c r="K42" i="13"/>
  <c r="G42" i="13"/>
  <c r="D42" i="13"/>
  <c r="E42" i="13" s="1"/>
  <c r="J42" i="13" s="1"/>
  <c r="Q41" i="13"/>
  <c r="M41" i="13"/>
  <c r="K41" i="13"/>
  <c r="R41" i="13" s="1"/>
  <c r="G41" i="13"/>
  <c r="D41" i="13"/>
  <c r="E41" i="13" s="1"/>
  <c r="J41" i="13" s="1"/>
  <c r="Q40" i="13"/>
  <c r="K40" i="13"/>
  <c r="R40" i="13" s="1"/>
  <c r="G40" i="13"/>
  <c r="D40" i="13"/>
  <c r="E40" i="13" s="1"/>
  <c r="J40" i="13" s="1"/>
  <c r="Q39" i="13"/>
  <c r="M39" i="13"/>
  <c r="K39" i="13"/>
  <c r="R39" i="13" s="1"/>
  <c r="G39" i="13"/>
  <c r="D39" i="13"/>
  <c r="E39" i="13" s="1"/>
  <c r="J39" i="13" s="1"/>
  <c r="Q38" i="13"/>
  <c r="K38" i="13"/>
  <c r="R38" i="13" s="1"/>
  <c r="G38" i="13"/>
  <c r="D38" i="13"/>
  <c r="E38" i="13" s="1"/>
  <c r="J38" i="13" s="1"/>
  <c r="Q37" i="13"/>
  <c r="M37" i="13"/>
  <c r="K37" i="13"/>
  <c r="G37" i="13"/>
  <c r="D37" i="13"/>
  <c r="E37" i="13" s="1"/>
  <c r="J37" i="13" s="1"/>
  <c r="Q36" i="13"/>
  <c r="M36" i="13"/>
  <c r="K36" i="13"/>
  <c r="R36" i="13" s="1"/>
  <c r="G36" i="13"/>
  <c r="D36" i="13"/>
  <c r="E36" i="13" s="1"/>
  <c r="J36" i="13" s="1"/>
  <c r="Q35" i="13"/>
  <c r="M35" i="13"/>
  <c r="K35" i="13"/>
  <c r="R35" i="13" s="1"/>
  <c r="G35" i="13"/>
  <c r="D35" i="13"/>
  <c r="E35" i="13" s="1"/>
  <c r="J35" i="13" s="1"/>
  <c r="Q34" i="13"/>
  <c r="K34" i="13"/>
  <c r="G34" i="13"/>
  <c r="D34" i="13"/>
  <c r="E34" i="13" s="1"/>
  <c r="J34" i="13" s="1"/>
  <c r="Q33" i="13"/>
  <c r="M33" i="13"/>
  <c r="K33" i="13"/>
  <c r="R33" i="13" s="1"/>
  <c r="G33" i="13"/>
  <c r="D33" i="13"/>
  <c r="E33" i="13" s="1"/>
  <c r="J33" i="13" s="1"/>
  <c r="Q32" i="13"/>
  <c r="K32" i="13"/>
  <c r="R32" i="13" s="1"/>
  <c r="G32" i="13"/>
  <c r="D32" i="13"/>
  <c r="E32" i="13" s="1"/>
  <c r="J32" i="13" s="1"/>
  <c r="Q31" i="13"/>
  <c r="M31" i="13"/>
  <c r="K31" i="13"/>
  <c r="R31" i="13" s="1"/>
  <c r="G31" i="13"/>
  <c r="D31" i="13"/>
  <c r="E31" i="13" s="1"/>
  <c r="J31" i="13" s="1"/>
  <c r="Q30" i="13"/>
  <c r="K30" i="13"/>
  <c r="R30" i="13" s="1"/>
  <c r="G30" i="13"/>
  <c r="D30" i="13"/>
  <c r="E30" i="13" s="1"/>
  <c r="J30" i="13" s="1"/>
  <c r="Q29" i="13"/>
  <c r="M29" i="13"/>
  <c r="K29" i="13"/>
  <c r="N29" i="13" s="1"/>
  <c r="G29" i="13"/>
  <c r="D29" i="13"/>
  <c r="E29" i="13" s="1"/>
  <c r="J29" i="13" s="1"/>
  <c r="Q28" i="13"/>
  <c r="M28" i="13"/>
  <c r="K28" i="13"/>
  <c r="R28" i="13" s="1"/>
  <c r="G28" i="13"/>
  <c r="D28" i="13"/>
  <c r="E28" i="13" s="1"/>
  <c r="J28" i="13" s="1"/>
  <c r="Q27" i="13"/>
  <c r="M27" i="13"/>
  <c r="K27" i="13"/>
  <c r="R27" i="13" s="1"/>
  <c r="G27" i="13"/>
  <c r="D27" i="13"/>
  <c r="E27" i="13" s="1"/>
  <c r="J27" i="13" s="1"/>
  <c r="Q26" i="13"/>
  <c r="K26" i="13"/>
  <c r="G26" i="13"/>
  <c r="D26" i="13"/>
  <c r="E26" i="13" s="1"/>
  <c r="J26" i="13" s="1"/>
  <c r="Q25" i="13"/>
  <c r="K25" i="13"/>
  <c r="R25" i="13" s="1"/>
  <c r="G25" i="13"/>
  <c r="D25" i="13"/>
  <c r="E25" i="13" s="1"/>
  <c r="J25" i="13" s="1"/>
  <c r="Q24" i="13"/>
  <c r="K24" i="13"/>
  <c r="R24" i="13" s="1"/>
  <c r="G24" i="13"/>
  <c r="D24" i="13"/>
  <c r="E24" i="13" s="1"/>
  <c r="J24" i="13" s="1"/>
  <c r="Q23" i="13"/>
  <c r="M23" i="13"/>
  <c r="K23" i="13"/>
  <c r="R23" i="13" s="1"/>
  <c r="G23" i="13"/>
  <c r="D23" i="13"/>
  <c r="E23" i="13" s="1"/>
  <c r="J23" i="13" s="1"/>
  <c r="Q22" i="13"/>
  <c r="K22" i="13"/>
  <c r="R22" i="13" s="1"/>
  <c r="G22" i="13"/>
  <c r="D22" i="13"/>
  <c r="E22" i="13" s="1"/>
  <c r="J22" i="13" s="1"/>
  <c r="Q21" i="13"/>
  <c r="M21" i="13"/>
  <c r="K21" i="13"/>
  <c r="N21" i="13" s="1"/>
  <c r="G21" i="13"/>
  <c r="D21" i="13"/>
  <c r="E21" i="13" s="1"/>
  <c r="J21" i="13" s="1"/>
  <c r="Q20" i="13"/>
  <c r="M20" i="13"/>
  <c r="K20" i="13"/>
  <c r="R20" i="13" s="1"/>
  <c r="G20" i="13"/>
  <c r="D20" i="13"/>
  <c r="E20" i="13" s="1"/>
  <c r="J20" i="13" s="1"/>
  <c r="Q19" i="13"/>
  <c r="K19" i="13"/>
  <c r="R19" i="13" s="1"/>
  <c r="G19" i="13"/>
  <c r="D19" i="13"/>
  <c r="E19" i="13" s="1"/>
  <c r="J19" i="13" s="1"/>
  <c r="Q18" i="13"/>
  <c r="K18" i="13"/>
  <c r="G18" i="13"/>
  <c r="D18" i="13"/>
  <c r="E18" i="13" s="1"/>
  <c r="J18" i="13" s="1"/>
  <c r="Q17" i="13"/>
  <c r="K17" i="13"/>
  <c r="R17" i="13" s="1"/>
  <c r="G17" i="13"/>
  <c r="D17" i="13"/>
  <c r="E17" i="13" s="1"/>
  <c r="J17" i="13" s="1"/>
  <c r="Q16" i="13"/>
  <c r="K16" i="13"/>
  <c r="R16" i="13" s="1"/>
  <c r="G16" i="13"/>
  <c r="D16" i="13"/>
  <c r="E16" i="13" s="1"/>
  <c r="J16" i="13" s="1"/>
  <c r="Q15" i="13"/>
  <c r="K15" i="13"/>
  <c r="R15" i="13" s="1"/>
  <c r="G15" i="13"/>
  <c r="D15" i="13"/>
  <c r="E15" i="13" s="1"/>
  <c r="J15" i="13" s="1"/>
  <c r="E9" i="13"/>
  <c r="E8" i="13"/>
  <c r="B8" i="13"/>
  <c r="H8" i="13" s="1"/>
  <c r="H7" i="13"/>
  <c r="E7" i="13"/>
  <c r="R64" i="12"/>
  <c r="Q64" i="12"/>
  <c r="M64" i="12"/>
  <c r="K64" i="12"/>
  <c r="G64" i="12"/>
  <c r="D64" i="12"/>
  <c r="E64" i="12" s="1"/>
  <c r="J64" i="12" s="1"/>
  <c r="Q63" i="12"/>
  <c r="K63" i="12"/>
  <c r="R63" i="12" s="1"/>
  <c r="G63" i="12"/>
  <c r="D63" i="12"/>
  <c r="E63" i="12" s="1"/>
  <c r="J63" i="12" s="1"/>
  <c r="R62" i="12"/>
  <c r="Q62" i="12"/>
  <c r="K62" i="12"/>
  <c r="G62" i="12"/>
  <c r="D62" i="12"/>
  <c r="E62" i="12" s="1"/>
  <c r="J62" i="12" s="1"/>
  <c r="R61" i="12"/>
  <c r="Q61" i="12"/>
  <c r="K61" i="12"/>
  <c r="G61" i="12"/>
  <c r="D61" i="12"/>
  <c r="E61" i="12" s="1"/>
  <c r="J61" i="12" s="1"/>
  <c r="Q60" i="12"/>
  <c r="K60" i="12"/>
  <c r="G60" i="12"/>
  <c r="D60" i="12"/>
  <c r="E60" i="12" s="1"/>
  <c r="J60" i="12" s="1"/>
  <c r="R59" i="12"/>
  <c r="Q59" i="12"/>
  <c r="K59" i="12"/>
  <c r="M59" i="12" s="1"/>
  <c r="G59" i="12"/>
  <c r="D59" i="12"/>
  <c r="E59" i="12" s="1"/>
  <c r="J59" i="12" s="1"/>
  <c r="R58" i="12"/>
  <c r="Q58" i="12"/>
  <c r="M58" i="12"/>
  <c r="K58" i="12"/>
  <c r="G58" i="12"/>
  <c r="D58" i="12"/>
  <c r="E58" i="12" s="1"/>
  <c r="Q57" i="12"/>
  <c r="K57" i="12"/>
  <c r="R57" i="12" s="1"/>
  <c r="G57" i="12"/>
  <c r="D57" i="12"/>
  <c r="E57" i="12" s="1"/>
  <c r="J57" i="12" s="1"/>
  <c r="R56" i="12"/>
  <c r="Q56" i="12"/>
  <c r="N56" i="12"/>
  <c r="M56" i="12"/>
  <c r="K56" i="12"/>
  <c r="G56" i="12"/>
  <c r="D56" i="12"/>
  <c r="E56" i="12" s="1"/>
  <c r="J56" i="12" s="1"/>
  <c r="Q55" i="12"/>
  <c r="M55" i="12"/>
  <c r="K55" i="12"/>
  <c r="R55" i="12" s="1"/>
  <c r="G55" i="12"/>
  <c r="D55" i="12"/>
  <c r="E55" i="12" s="1"/>
  <c r="R54" i="12"/>
  <c r="Q54" i="12"/>
  <c r="K54" i="12"/>
  <c r="G54" i="12"/>
  <c r="D54" i="12"/>
  <c r="E54" i="12" s="1"/>
  <c r="J54" i="12" s="1"/>
  <c r="R53" i="12"/>
  <c r="Q53" i="12"/>
  <c r="N53" i="12"/>
  <c r="M53" i="12"/>
  <c r="L53" i="12"/>
  <c r="K53" i="12"/>
  <c r="G53" i="12"/>
  <c r="D53" i="12"/>
  <c r="E53" i="12" s="1"/>
  <c r="J53" i="12" s="1"/>
  <c r="Q52" i="12"/>
  <c r="K52" i="12"/>
  <c r="G52" i="12"/>
  <c r="D52" i="12"/>
  <c r="E52" i="12" s="1"/>
  <c r="J52" i="12" s="1"/>
  <c r="R51" i="12"/>
  <c r="Q51" i="12"/>
  <c r="K51" i="12"/>
  <c r="M51" i="12" s="1"/>
  <c r="G51" i="12"/>
  <c r="D51" i="12"/>
  <c r="E51" i="12" s="1"/>
  <c r="J51" i="12" s="1"/>
  <c r="Q50" i="12"/>
  <c r="K50" i="12"/>
  <c r="R50" i="12" s="1"/>
  <c r="J50" i="12"/>
  <c r="G50" i="12"/>
  <c r="E50" i="12"/>
  <c r="D50" i="12"/>
  <c r="Q49" i="12"/>
  <c r="K49" i="12"/>
  <c r="R49" i="12" s="1"/>
  <c r="G49" i="12"/>
  <c r="D49" i="12"/>
  <c r="E49" i="12" s="1"/>
  <c r="J49" i="12" s="1"/>
  <c r="R48" i="12"/>
  <c r="Q48" i="12"/>
  <c r="M48" i="12"/>
  <c r="K48" i="12"/>
  <c r="G48" i="12"/>
  <c r="D48" i="12"/>
  <c r="E48" i="12" s="1"/>
  <c r="J48" i="12" s="1"/>
  <c r="Q47" i="12"/>
  <c r="K47" i="12"/>
  <c r="R47" i="12" s="1"/>
  <c r="G47" i="12"/>
  <c r="D47" i="12"/>
  <c r="E47" i="12" s="1"/>
  <c r="J47" i="12" s="1"/>
  <c r="R46" i="12"/>
  <c r="Q46" i="12"/>
  <c r="K46" i="12"/>
  <c r="G46" i="12"/>
  <c r="E46" i="12"/>
  <c r="J46" i="12" s="1"/>
  <c r="D46" i="12"/>
  <c r="Q45" i="12"/>
  <c r="K45" i="12"/>
  <c r="M45" i="12" s="1"/>
  <c r="G45" i="12"/>
  <c r="D45" i="12"/>
  <c r="E45" i="12" s="1"/>
  <c r="J45" i="12" s="1"/>
  <c r="Q44" i="12"/>
  <c r="K44" i="12"/>
  <c r="G44" i="12"/>
  <c r="D44" i="12"/>
  <c r="E44" i="12" s="1"/>
  <c r="J44" i="12" s="1"/>
  <c r="R43" i="12"/>
  <c r="Q43" i="12"/>
  <c r="K43" i="12"/>
  <c r="M43" i="12" s="1"/>
  <c r="G43" i="12"/>
  <c r="D43" i="12"/>
  <c r="E43" i="12" s="1"/>
  <c r="J43" i="12" s="1"/>
  <c r="R42" i="12"/>
  <c r="Q42" i="12"/>
  <c r="K42" i="12"/>
  <c r="G42" i="12"/>
  <c r="D42" i="12"/>
  <c r="E42" i="12" s="1"/>
  <c r="J42" i="12" s="1"/>
  <c r="Q41" i="12"/>
  <c r="K41" i="12"/>
  <c r="M41" i="12" s="1"/>
  <c r="G41" i="12"/>
  <c r="D41" i="12"/>
  <c r="E41" i="12" s="1"/>
  <c r="J41" i="12" s="1"/>
  <c r="R40" i="12"/>
  <c r="Q40" i="12"/>
  <c r="M40" i="12"/>
  <c r="K40" i="12"/>
  <c r="G40" i="12"/>
  <c r="D40" i="12"/>
  <c r="E40" i="12" s="1"/>
  <c r="J40" i="12" s="1"/>
  <c r="Q39" i="12"/>
  <c r="K39" i="12"/>
  <c r="R39" i="12" s="1"/>
  <c r="G39" i="12"/>
  <c r="D39" i="12"/>
  <c r="E39" i="12" s="1"/>
  <c r="J39" i="12" s="1"/>
  <c r="R38" i="12"/>
  <c r="Q38" i="12"/>
  <c r="K38" i="12"/>
  <c r="G38" i="12"/>
  <c r="D38" i="12"/>
  <c r="E38" i="12" s="1"/>
  <c r="J38" i="12" s="1"/>
  <c r="R37" i="12"/>
  <c r="Q37" i="12"/>
  <c r="K37" i="12"/>
  <c r="G37" i="12"/>
  <c r="D37" i="12"/>
  <c r="E37" i="12" s="1"/>
  <c r="J37" i="12" s="1"/>
  <c r="Q36" i="12"/>
  <c r="K36" i="12"/>
  <c r="G36" i="12"/>
  <c r="D36" i="12"/>
  <c r="E36" i="12" s="1"/>
  <c r="R35" i="12"/>
  <c r="Q35" i="12"/>
  <c r="K35" i="12"/>
  <c r="M35" i="12" s="1"/>
  <c r="G35" i="12"/>
  <c r="D35" i="12"/>
  <c r="E35" i="12" s="1"/>
  <c r="J35" i="12" s="1"/>
  <c r="R34" i="12"/>
  <c r="Q34" i="12"/>
  <c r="M34" i="12"/>
  <c r="K34" i="12"/>
  <c r="G34" i="12"/>
  <c r="D34" i="12"/>
  <c r="E34" i="12" s="1"/>
  <c r="Q33" i="12"/>
  <c r="K33" i="12"/>
  <c r="R33" i="12" s="1"/>
  <c r="G33" i="12"/>
  <c r="D33" i="12"/>
  <c r="E33" i="12" s="1"/>
  <c r="J33" i="12" s="1"/>
  <c r="R32" i="12"/>
  <c r="Q32" i="12"/>
  <c r="N32" i="12"/>
  <c r="M32" i="12"/>
  <c r="K32" i="12"/>
  <c r="G32" i="12"/>
  <c r="D32" i="12"/>
  <c r="E32" i="12" s="1"/>
  <c r="J32" i="12" s="1"/>
  <c r="Q31" i="12"/>
  <c r="M31" i="12"/>
  <c r="K31" i="12"/>
  <c r="R31" i="12" s="1"/>
  <c r="G31" i="12"/>
  <c r="D31" i="12"/>
  <c r="E31" i="12" s="1"/>
  <c r="R30" i="12"/>
  <c r="Q30" i="12"/>
  <c r="K30" i="12"/>
  <c r="G30" i="12"/>
  <c r="D30" i="12"/>
  <c r="E30" i="12" s="1"/>
  <c r="J30" i="12" s="1"/>
  <c r="R29" i="12"/>
  <c r="Q29" i="12"/>
  <c r="M29" i="12"/>
  <c r="K29" i="12"/>
  <c r="G29" i="12"/>
  <c r="D29" i="12"/>
  <c r="E29" i="12" s="1"/>
  <c r="J29" i="12" s="1"/>
  <c r="Q28" i="12"/>
  <c r="K28" i="12"/>
  <c r="G28" i="12"/>
  <c r="D28" i="12"/>
  <c r="E28" i="12" s="1"/>
  <c r="J28" i="12" s="1"/>
  <c r="R27" i="12"/>
  <c r="Q27" i="12"/>
  <c r="N27" i="12"/>
  <c r="K27" i="12"/>
  <c r="M27" i="12" s="1"/>
  <c r="G27" i="12"/>
  <c r="D27" i="12"/>
  <c r="E27" i="12" s="1"/>
  <c r="J27" i="12" s="1"/>
  <c r="Q26" i="12"/>
  <c r="K26" i="12"/>
  <c r="M26" i="12" s="1"/>
  <c r="G26" i="12"/>
  <c r="D26" i="12"/>
  <c r="E26" i="12" s="1"/>
  <c r="J26" i="12" s="1"/>
  <c r="Q25" i="12"/>
  <c r="K25" i="12"/>
  <c r="R25" i="12" s="1"/>
  <c r="G25" i="12"/>
  <c r="D25" i="12"/>
  <c r="E25" i="12" s="1"/>
  <c r="J25" i="12" s="1"/>
  <c r="R24" i="12"/>
  <c r="Q24" i="12"/>
  <c r="M24" i="12"/>
  <c r="K24" i="12"/>
  <c r="G24" i="12"/>
  <c r="D24" i="12"/>
  <c r="E24" i="12" s="1"/>
  <c r="J24" i="12" s="1"/>
  <c r="Q23" i="12"/>
  <c r="K23" i="12"/>
  <c r="R23" i="12" s="1"/>
  <c r="G23" i="12"/>
  <c r="D23" i="12"/>
  <c r="E23" i="12" s="1"/>
  <c r="J23" i="12" s="1"/>
  <c r="R22" i="12"/>
  <c r="Q22" i="12"/>
  <c r="K22" i="12"/>
  <c r="G22" i="12"/>
  <c r="D22" i="12"/>
  <c r="E22" i="12" s="1"/>
  <c r="J22" i="12" s="1"/>
  <c r="R21" i="12"/>
  <c r="Q21" i="12"/>
  <c r="K21" i="12"/>
  <c r="N21" i="12" s="1"/>
  <c r="G21" i="12"/>
  <c r="D21" i="12"/>
  <c r="E21" i="12" s="1"/>
  <c r="J21" i="12" s="1"/>
  <c r="Q20" i="12"/>
  <c r="K20" i="12"/>
  <c r="G20" i="12"/>
  <c r="D20" i="12"/>
  <c r="E20" i="12" s="1"/>
  <c r="J20" i="12" s="1"/>
  <c r="R19" i="12"/>
  <c r="Q19" i="12"/>
  <c r="K19" i="12"/>
  <c r="M19" i="12" s="1"/>
  <c r="G19" i="12"/>
  <c r="D19" i="12"/>
  <c r="E19" i="12" s="1"/>
  <c r="J19" i="12" s="1"/>
  <c r="R18" i="12"/>
  <c r="Q18" i="12"/>
  <c r="K18" i="12"/>
  <c r="G18" i="12"/>
  <c r="D18" i="12"/>
  <c r="E18" i="12" s="1"/>
  <c r="J18" i="12" s="1"/>
  <c r="Q17" i="12"/>
  <c r="K17" i="12"/>
  <c r="G17" i="12"/>
  <c r="D17" i="12"/>
  <c r="E17" i="12" s="1"/>
  <c r="J17" i="12" s="1"/>
  <c r="R16" i="12"/>
  <c r="Q16" i="12"/>
  <c r="K16" i="12"/>
  <c r="M16" i="12" s="1"/>
  <c r="G16" i="12"/>
  <c r="D16" i="12"/>
  <c r="E16" i="12" s="1"/>
  <c r="J16" i="12" s="1"/>
  <c r="Q15" i="12"/>
  <c r="K15" i="12"/>
  <c r="M15" i="12" s="1"/>
  <c r="G15" i="12"/>
  <c r="D15" i="12"/>
  <c r="E15" i="12" s="1"/>
  <c r="E10" i="12"/>
  <c r="E9" i="12"/>
  <c r="B8" i="12"/>
  <c r="H8" i="12" s="1"/>
  <c r="H7" i="12"/>
  <c r="E7" i="12"/>
  <c r="Q64" i="11"/>
  <c r="K64" i="11"/>
  <c r="R64" i="11" s="1"/>
  <c r="G64" i="11"/>
  <c r="D64" i="11"/>
  <c r="E64" i="11" s="1"/>
  <c r="J64" i="11" s="1"/>
  <c r="Q63" i="11"/>
  <c r="K63" i="11"/>
  <c r="R63" i="11" s="1"/>
  <c r="G63" i="11"/>
  <c r="D63" i="11"/>
  <c r="E63" i="11" s="1"/>
  <c r="J63" i="11" s="1"/>
  <c r="R62" i="11"/>
  <c r="Q62" i="11"/>
  <c r="K62" i="11"/>
  <c r="M62" i="11" s="1"/>
  <c r="G62" i="11"/>
  <c r="D62" i="11"/>
  <c r="E62" i="11" s="1"/>
  <c r="R61" i="11"/>
  <c r="Q61" i="11"/>
  <c r="K61" i="11"/>
  <c r="G61" i="11"/>
  <c r="D61" i="11"/>
  <c r="E61" i="11" s="1"/>
  <c r="J61" i="11" s="1"/>
  <c r="Q60" i="11"/>
  <c r="K60" i="11"/>
  <c r="G60" i="11"/>
  <c r="D60" i="11"/>
  <c r="E60" i="11" s="1"/>
  <c r="J60" i="11" s="1"/>
  <c r="R59" i="11"/>
  <c r="Q59" i="11"/>
  <c r="M59" i="11"/>
  <c r="K59" i="11"/>
  <c r="G59" i="11"/>
  <c r="D59" i="11"/>
  <c r="E59" i="11" s="1"/>
  <c r="R58" i="11"/>
  <c r="Q58" i="11"/>
  <c r="M58" i="11"/>
  <c r="K58" i="11"/>
  <c r="G58" i="11"/>
  <c r="D58" i="11"/>
  <c r="E58" i="11" s="1"/>
  <c r="J58" i="11" s="1"/>
  <c r="R57" i="11"/>
  <c r="Q57" i="11"/>
  <c r="K57" i="11"/>
  <c r="G57" i="11"/>
  <c r="D57" i="11"/>
  <c r="E57" i="11" s="1"/>
  <c r="J57" i="11" s="1"/>
  <c r="Q56" i="11"/>
  <c r="K56" i="11"/>
  <c r="R56" i="11" s="1"/>
  <c r="G56" i="11"/>
  <c r="D56" i="11"/>
  <c r="E56" i="11" s="1"/>
  <c r="J56" i="11" s="1"/>
  <c r="Q55" i="11"/>
  <c r="K55" i="11"/>
  <c r="R55" i="11" s="1"/>
  <c r="G55" i="11"/>
  <c r="D55" i="11"/>
  <c r="E55" i="11" s="1"/>
  <c r="J55" i="11" s="1"/>
  <c r="R54" i="11"/>
  <c r="Q54" i="11"/>
  <c r="K54" i="11"/>
  <c r="M54" i="11" s="1"/>
  <c r="G54" i="11"/>
  <c r="D54" i="11"/>
  <c r="E54" i="11" s="1"/>
  <c r="R53" i="11"/>
  <c r="Q53" i="11"/>
  <c r="K53" i="11"/>
  <c r="G53" i="11"/>
  <c r="D53" i="11"/>
  <c r="E53" i="11" s="1"/>
  <c r="J53" i="11" s="1"/>
  <c r="Q52" i="11"/>
  <c r="K52" i="11"/>
  <c r="G52" i="11"/>
  <c r="D52" i="11"/>
  <c r="E52" i="11" s="1"/>
  <c r="J52" i="11" s="1"/>
  <c r="R51" i="11"/>
  <c r="Q51" i="11"/>
  <c r="M51" i="11"/>
  <c r="K51" i="11"/>
  <c r="G51" i="11"/>
  <c r="D51" i="11"/>
  <c r="E51" i="11" s="1"/>
  <c r="R50" i="11"/>
  <c r="Q50" i="11"/>
  <c r="M50" i="11"/>
  <c r="K50" i="11"/>
  <c r="G50" i="11"/>
  <c r="D50" i="11"/>
  <c r="E50" i="11" s="1"/>
  <c r="J50" i="11" s="1"/>
  <c r="R49" i="11"/>
  <c r="Q49" i="11"/>
  <c r="K49" i="11"/>
  <c r="G49" i="11"/>
  <c r="D49" i="11"/>
  <c r="E49" i="11" s="1"/>
  <c r="J49" i="11" s="1"/>
  <c r="Q48" i="11"/>
  <c r="K48" i="11"/>
  <c r="R48" i="11" s="1"/>
  <c r="G48" i="11"/>
  <c r="D48" i="11"/>
  <c r="E48" i="11" s="1"/>
  <c r="J48" i="11" s="1"/>
  <c r="Q47" i="11"/>
  <c r="K47" i="11"/>
  <c r="R47" i="11" s="1"/>
  <c r="G47" i="11"/>
  <c r="D47" i="11"/>
  <c r="E47" i="11" s="1"/>
  <c r="J47" i="11" s="1"/>
  <c r="R46" i="11"/>
  <c r="Q46" i="11"/>
  <c r="K46" i="11"/>
  <c r="M46" i="11" s="1"/>
  <c r="G46" i="11"/>
  <c r="D46" i="11"/>
  <c r="E46" i="11" s="1"/>
  <c r="R45" i="11"/>
  <c r="Q45" i="11"/>
  <c r="K45" i="11"/>
  <c r="G45" i="11"/>
  <c r="D45" i="11"/>
  <c r="E45" i="11" s="1"/>
  <c r="J45" i="11" s="1"/>
  <c r="Q44" i="11"/>
  <c r="K44" i="11"/>
  <c r="G44" i="11"/>
  <c r="D44" i="11"/>
  <c r="E44" i="11" s="1"/>
  <c r="J44" i="11" s="1"/>
  <c r="R43" i="11"/>
  <c r="Q43" i="11"/>
  <c r="M43" i="11"/>
  <c r="K43" i="11"/>
  <c r="G43" i="11"/>
  <c r="D43" i="11"/>
  <c r="E43" i="11" s="1"/>
  <c r="R42" i="11"/>
  <c r="Q42" i="11"/>
  <c r="M42" i="11"/>
  <c r="K42" i="11"/>
  <c r="G42" i="11"/>
  <c r="D42" i="11"/>
  <c r="E42" i="11" s="1"/>
  <c r="J42" i="11" s="1"/>
  <c r="R41" i="11"/>
  <c r="Q41" i="11"/>
  <c r="K41" i="11"/>
  <c r="G41" i="11"/>
  <c r="D41" i="11"/>
  <c r="E41" i="11" s="1"/>
  <c r="J41" i="11" s="1"/>
  <c r="Q40" i="11"/>
  <c r="K40" i="11"/>
  <c r="R40" i="11" s="1"/>
  <c r="G40" i="11"/>
  <c r="D40" i="11"/>
  <c r="E40" i="11" s="1"/>
  <c r="J40" i="11" s="1"/>
  <c r="Q39" i="11"/>
  <c r="N39" i="11"/>
  <c r="M39" i="11"/>
  <c r="K39" i="11"/>
  <c r="R39" i="11" s="1"/>
  <c r="G39" i="11"/>
  <c r="D39" i="11"/>
  <c r="E39" i="11" s="1"/>
  <c r="J39" i="11" s="1"/>
  <c r="R38" i="11"/>
  <c r="Q38" i="11"/>
  <c r="K38" i="11"/>
  <c r="M38" i="11" s="1"/>
  <c r="G38" i="11"/>
  <c r="D38" i="11"/>
  <c r="E38" i="11" s="1"/>
  <c r="R37" i="11"/>
  <c r="Q37" i="11"/>
  <c r="K37" i="11"/>
  <c r="G37" i="11"/>
  <c r="D37" i="11"/>
  <c r="E37" i="11" s="1"/>
  <c r="J37" i="11" s="1"/>
  <c r="Q36" i="11"/>
  <c r="K36" i="11"/>
  <c r="G36" i="11"/>
  <c r="D36" i="11"/>
  <c r="E36" i="11" s="1"/>
  <c r="J36" i="11" s="1"/>
  <c r="R35" i="11"/>
  <c r="Q35" i="11"/>
  <c r="M35" i="11"/>
  <c r="K35" i="11"/>
  <c r="G35" i="11"/>
  <c r="D35" i="11"/>
  <c r="E35" i="11" s="1"/>
  <c r="L35" i="11" s="1"/>
  <c r="R34" i="11"/>
  <c r="Q34" i="11"/>
  <c r="M34" i="11"/>
  <c r="K34" i="11"/>
  <c r="G34" i="11"/>
  <c r="D34" i="11"/>
  <c r="E34" i="11" s="1"/>
  <c r="J34" i="11" s="1"/>
  <c r="R33" i="11"/>
  <c r="Q33" i="11"/>
  <c r="K33" i="11"/>
  <c r="G33" i="11"/>
  <c r="D33" i="11"/>
  <c r="E33" i="11" s="1"/>
  <c r="J33" i="11" s="1"/>
  <c r="Q32" i="11"/>
  <c r="K32" i="11"/>
  <c r="R32" i="11" s="1"/>
  <c r="G32" i="11"/>
  <c r="D32" i="11"/>
  <c r="E32" i="11" s="1"/>
  <c r="J32" i="11" s="1"/>
  <c r="Q31" i="11"/>
  <c r="K31" i="11"/>
  <c r="R31" i="11" s="1"/>
  <c r="G31" i="11"/>
  <c r="D31" i="11"/>
  <c r="E31" i="11" s="1"/>
  <c r="J31" i="11" s="1"/>
  <c r="R30" i="11"/>
  <c r="Q30" i="11"/>
  <c r="K30" i="11"/>
  <c r="M30" i="11" s="1"/>
  <c r="G30" i="11"/>
  <c r="D30" i="11"/>
  <c r="E30" i="11" s="1"/>
  <c r="R29" i="11"/>
  <c r="Q29" i="11"/>
  <c r="K29" i="11"/>
  <c r="G29" i="11"/>
  <c r="D29" i="11"/>
  <c r="E29" i="11" s="1"/>
  <c r="J29" i="11" s="1"/>
  <c r="Q28" i="11"/>
  <c r="K28" i="11"/>
  <c r="G28" i="11"/>
  <c r="D28" i="11"/>
  <c r="E28" i="11" s="1"/>
  <c r="J28" i="11" s="1"/>
  <c r="R27" i="11"/>
  <c r="Q27" i="11"/>
  <c r="M27" i="11"/>
  <c r="L27" i="11"/>
  <c r="K27" i="11"/>
  <c r="G27" i="11"/>
  <c r="D27" i="11"/>
  <c r="E27" i="11" s="1"/>
  <c r="R26" i="11"/>
  <c r="Q26" i="11"/>
  <c r="M26" i="11"/>
  <c r="K26" i="11"/>
  <c r="G26" i="11"/>
  <c r="D26" i="11"/>
  <c r="E26" i="11" s="1"/>
  <c r="J26" i="11" s="1"/>
  <c r="R25" i="11"/>
  <c r="Q25" i="11"/>
  <c r="K25" i="11"/>
  <c r="G25" i="11"/>
  <c r="D25" i="11"/>
  <c r="E25" i="11" s="1"/>
  <c r="J25" i="11" s="1"/>
  <c r="Q24" i="11"/>
  <c r="K24" i="11"/>
  <c r="R24" i="11" s="1"/>
  <c r="G24" i="11"/>
  <c r="D24" i="11"/>
  <c r="E24" i="11" s="1"/>
  <c r="J24" i="11" s="1"/>
  <c r="Q23" i="11"/>
  <c r="K23" i="11"/>
  <c r="R23" i="11" s="1"/>
  <c r="G23" i="11"/>
  <c r="D23" i="11"/>
  <c r="E23" i="11" s="1"/>
  <c r="J23" i="11" s="1"/>
  <c r="R22" i="11"/>
  <c r="Q22" i="11"/>
  <c r="K22" i="11"/>
  <c r="M22" i="11" s="1"/>
  <c r="G22" i="11"/>
  <c r="D22" i="11"/>
  <c r="E22" i="11" s="1"/>
  <c r="R21" i="11"/>
  <c r="Q21" i="11"/>
  <c r="K21" i="11"/>
  <c r="G21" i="11"/>
  <c r="E21" i="11"/>
  <c r="J21" i="11" s="1"/>
  <c r="D21" i="11"/>
  <c r="Q20" i="11"/>
  <c r="K20" i="11"/>
  <c r="G20" i="11"/>
  <c r="D20" i="11"/>
  <c r="E20" i="11" s="1"/>
  <c r="J20" i="11" s="1"/>
  <c r="R19" i="11"/>
  <c r="Q19" i="11"/>
  <c r="M19" i="11"/>
  <c r="K19" i="11"/>
  <c r="G19" i="11"/>
  <c r="D19" i="11"/>
  <c r="E19" i="11" s="1"/>
  <c r="R18" i="11"/>
  <c r="Q18" i="11"/>
  <c r="M18" i="11"/>
  <c r="K18" i="11"/>
  <c r="G18" i="11"/>
  <c r="D18" i="11"/>
  <c r="E18" i="11" s="1"/>
  <c r="J18" i="11" s="1"/>
  <c r="R17" i="11"/>
  <c r="Q17" i="11"/>
  <c r="K17" i="11"/>
  <c r="E10" i="11" s="1"/>
  <c r="G17" i="11"/>
  <c r="D17" i="11"/>
  <c r="E17" i="11" s="1"/>
  <c r="J17" i="11" s="1"/>
  <c r="Q16" i="11"/>
  <c r="K16" i="11"/>
  <c r="R16" i="11" s="1"/>
  <c r="G16" i="11"/>
  <c r="D16" i="11"/>
  <c r="E16" i="11" s="1"/>
  <c r="J16" i="11" s="1"/>
  <c r="Q15" i="11"/>
  <c r="K15" i="11"/>
  <c r="R15" i="11" s="1"/>
  <c r="G15" i="11"/>
  <c r="D15" i="11"/>
  <c r="E15" i="11" s="1"/>
  <c r="J15" i="11" s="1"/>
  <c r="E9" i="11"/>
  <c r="H8" i="11"/>
  <c r="E8" i="11"/>
  <c r="B8" i="11"/>
  <c r="H7" i="11"/>
  <c r="E7" i="11"/>
  <c r="Q64" i="10"/>
  <c r="K64" i="10"/>
  <c r="R64" i="10" s="1"/>
  <c r="G64" i="10"/>
  <c r="D64" i="10"/>
  <c r="E64" i="10" s="1"/>
  <c r="L64" i="10" s="1"/>
  <c r="Q63" i="10"/>
  <c r="K63" i="10"/>
  <c r="R63" i="10" s="1"/>
  <c r="G63" i="10"/>
  <c r="D63" i="10"/>
  <c r="E63" i="10" s="1"/>
  <c r="J63" i="10" s="1"/>
  <c r="Q62" i="10"/>
  <c r="K62" i="10"/>
  <c r="R62" i="10" s="1"/>
  <c r="G62" i="10"/>
  <c r="D62" i="10"/>
  <c r="E62" i="10" s="1"/>
  <c r="R61" i="10"/>
  <c r="Q61" i="10"/>
  <c r="K61" i="10"/>
  <c r="G61" i="10"/>
  <c r="D61" i="10"/>
  <c r="E61" i="10" s="1"/>
  <c r="J61" i="10" s="1"/>
  <c r="Q60" i="10"/>
  <c r="K60" i="10"/>
  <c r="G60" i="10"/>
  <c r="D60" i="10"/>
  <c r="E60" i="10" s="1"/>
  <c r="J60" i="10" s="1"/>
  <c r="Q59" i="10"/>
  <c r="K59" i="10"/>
  <c r="G59" i="10"/>
  <c r="D59" i="10"/>
  <c r="E59" i="10" s="1"/>
  <c r="J59" i="10" s="1"/>
  <c r="Q58" i="10"/>
  <c r="K58" i="10"/>
  <c r="M58" i="10" s="1"/>
  <c r="G58" i="10"/>
  <c r="D58" i="10"/>
  <c r="E58" i="10" s="1"/>
  <c r="Q57" i="10"/>
  <c r="K57" i="10"/>
  <c r="R57" i="10" s="1"/>
  <c r="G57" i="10"/>
  <c r="D57" i="10"/>
  <c r="E57" i="10" s="1"/>
  <c r="J57" i="10" s="1"/>
  <c r="Q56" i="10"/>
  <c r="K56" i="10"/>
  <c r="R56" i="10" s="1"/>
  <c r="G56" i="10"/>
  <c r="D56" i="10"/>
  <c r="E56" i="10" s="1"/>
  <c r="Q55" i="10"/>
  <c r="K55" i="10"/>
  <c r="R55" i="10" s="1"/>
  <c r="G55" i="10"/>
  <c r="D55" i="10"/>
  <c r="E55" i="10" s="1"/>
  <c r="J55" i="10" s="1"/>
  <c r="R54" i="10"/>
  <c r="Q54" i="10"/>
  <c r="K54" i="10"/>
  <c r="M54" i="10" s="1"/>
  <c r="G54" i="10"/>
  <c r="D54" i="10"/>
  <c r="E54" i="10" s="1"/>
  <c r="Q53" i="10"/>
  <c r="K53" i="10"/>
  <c r="R53" i="10" s="1"/>
  <c r="G53" i="10"/>
  <c r="D53" i="10"/>
  <c r="E53" i="10" s="1"/>
  <c r="J53" i="10" s="1"/>
  <c r="Q52" i="10"/>
  <c r="K52" i="10"/>
  <c r="G52" i="10"/>
  <c r="D52" i="10"/>
  <c r="E52" i="10" s="1"/>
  <c r="J52" i="10" s="1"/>
  <c r="Q51" i="10"/>
  <c r="K51" i="10"/>
  <c r="G51" i="10"/>
  <c r="D51" i="10"/>
  <c r="E51" i="10" s="1"/>
  <c r="J51" i="10" s="1"/>
  <c r="Q50" i="10"/>
  <c r="K50" i="10"/>
  <c r="R50" i="10" s="1"/>
  <c r="G50" i="10"/>
  <c r="D50" i="10"/>
  <c r="E50" i="10" s="1"/>
  <c r="Q49" i="10"/>
  <c r="K49" i="10"/>
  <c r="R49" i="10" s="1"/>
  <c r="G49" i="10"/>
  <c r="D49" i="10"/>
  <c r="E49" i="10" s="1"/>
  <c r="J49" i="10" s="1"/>
  <c r="Q48" i="10"/>
  <c r="K48" i="10"/>
  <c r="R48" i="10" s="1"/>
  <c r="G48" i="10"/>
  <c r="D48" i="10"/>
  <c r="E48" i="10" s="1"/>
  <c r="J48" i="10" s="1"/>
  <c r="Q47" i="10"/>
  <c r="K47" i="10"/>
  <c r="R47" i="10" s="1"/>
  <c r="G47" i="10"/>
  <c r="D47" i="10"/>
  <c r="E47" i="10" s="1"/>
  <c r="J47" i="10" s="1"/>
  <c r="Q46" i="10"/>
  <c r="K46" i="10"/>
  <c r="M46" i="10" s="1"/>
  <c r="G46" i="10"/>
  <c r="D46" i="10"/>
  <c r="E46" i="10" s="1"/>
  <c r="Q45" i="10"/>
  <c r="K45" i="10"/>
  <c r="R45" i="10" s="1"/>
  <c r="G45" i="10"/>
  <c r="D45" i="10"/>
  <c r="E45" i="10" s="1"/>
  <c r="J45" i="10" s="1"/>
  <c r="Q44" i="10"/>
  <c r="K44" i="10"/>
  <c r="G44" i="10"/>
  <c r="D44" i="10"/>
  <c r="E44" i="10" s="1"/>
  <c r="J44" i="10" s="1"/>
  <c r="Q43" i="10"/>
  <c r="K43" i="10"/>
  <c r="G43" i="10"/>
  <c r="D43" i="10"/>
  <c r="E43" i="10" s="1"/>
  <c r="J43" i="10" s="1"/>
  <c r="Q42" i="10"/>
  <c r="K42" i="10"/>
  <c r="R42" i="10" s="1"/>
  <c r="G42" i="10"/>
  <c r="D42" i="10"/>
  <c r="E42" i="10" s="1"/>
  <c r="J42" i="10" s="1"/>
  <c r="Q41" i="10"/>
  <c r="K41" i="10"/>
  <c r="G41" i="10"/>
  <c r="D41" i="10"/>
  <c r="E41" i="10" s="1"/>
  <c r="J41" i="10" s="1"/>
  <c r="Q40" i="10"/>
  <c r="K40" i="10"/>
  <c r="R40" i="10" s="1"/>
  <c r="G40" i="10"/>
  <c r="D40" i="10"/>
  <c r="E40" i="10" s="1"/>
  <c r="J40" i="10" s="1"/>
  <c r="Q39" i="10"/>
  <c r="K39" i="10"/>
  <c r="R39" i="10" s="1"/>
  <c r="G39" i="10"/>
  <c r="D39" i="10"/>
  <c r="E39" i="10" s="1"/>
  <c r="J39" i="10" s="1"/>
  <c r="Q38" i="10"/>
  <c r="K38" i="10"/>
  <c r="R38" i="10" s="1"/>
  <c r="G38" i="10"/>
  <c r="D38" i="10"/>
  <c r="E38" i="10" s="1"/>
  <c r="R37" i="10"/>
  <c r="Q37" i="10"/>
  <c r="M37" i="10"/>
  <c r="K37" i="10"/>
  <c r="G37" i="10"/>
  <c r="D37" i="10"/>
  <c r="E37" i="10" s="1"/>
  <c r="J37" i="10" s="1"/>
  <c r="Q36" i="10"/>
  <c r="K36" i="10"/>
  <c r="G36" i="10"/>
  <c r="D36" i="10"/>
  <c r="E36" i="10" s="1"/>
  <c r="J36" i="10" s="1"/>
  <c r="Q35" i="10"/>
  <c r="K35" i="10"/>
  <c r="G35" i="10"/>
  <c r="D35" i="10"/>
  <c r="E35" i="10" s="1"/>
  <c r="J35" i="10" s="1"/>
  <c r="R34" i="10"/>
  <c r="Q34" i="10"/>
  <c r="M34" i="10"/>
  <c r="K34" i="10"/>
  <c r="G34" i="10"/>
  <c r="D34" i="10"/>
  <c r="E34" i="10" s="1"/>
  <c r="J34" i="10" s="1"/>
  <c r="Q33" i="10"/>
  <c r="K33" i="10"/>
  <c r="G33" i="10"/>
  <c r="D33" i="10"/>
  <c r="E33" i="10" s="1"/>
  <c r="J33" i="10" s="1"/>
  <c r="Q32" i="10"/>
  <c r="K32" i="10"/>
  <c r="R32" i="10" s="1"/>
  <c r="G32" i="10"/>
  <c r="D32" i="10"/>
  <c r="E32" i="10" s="1"/>
  <c r="J32" i="10" s="1"/>
  <c r="Q31" i="10"/>
  <c r="K31" i="10"/>
  <c r="R31" i="10" s="1"/>
  <c r="G31" i="10"/>
  <c r="D31" i="10"/>
  <c r="E31" i="10" s="1"/>
  <c r="J31" i="10" s="1"/>
  <c r="R30" i="10"/>
  <c r="Q30" i="10"/>
  <c r="K30" i="10"/>
  <c r="M30" i="10" s="1"/>
  <c r="G30" i="10"/>
  <c r="D30" i="10"/>
  <c r="E30" i="10" s="1"/>
  <c r="Q29" i="10"/>
  <c r="K29" i="10"/>
  <c r="M29" i="10" s="1"/>
  <c r="G29" i="10"/>
  <c r="D29" i="10"/>
  <c r="E29" i="10" s="1"/>
  <c r="J29" i="10" s="1"/>
  <c r="Q28" i="10"/>
  <c r="K28" i="10"/>
  <c r="G28" i="10"/>
  <c r="D28" i="10"/>
  <c r="E28" i="10" s="1"/>
  <c r="J28" i="10" s="1"/>
  <c r="Q27" i="10"/>
  <c r="K27" i="10"/>
  <c r="G27" i="10"/>
  <c r="D27" i="10"/>
  <c r="E27" i="10" s="1"/>
  <c r="J27" i="10" s="1"/>
  <c r="Q26" i="10"/>
  <c r="K26" i="10"/>
  <c r="M26" i="10" s="1"/>
  <c r="G26" i="10"/>
  <c r="D26" i="10"/>
  <c r="E26" i="10" s="1"/>
  <c r="J26" i="10" s="1"/>
  <c r="Q25" i="10"/>
  <c r="K25" i="10"/>
  <c r="G25" i="10"/>
  <c r="D25" i="10"/>
  <c r="E25" i="10" s="1"/>
  <c r="J25" i="10" s="1"/>
  <c r="Q24" i="10"/>
  <c r="K24" i="10"/>
  <c r="R24" i="10" s="1"/>
  <c r="G24" i="10"/>
  <c r="D24" i="10"/>
  <c r="E24" i="10" s="1"/>
  <c r="J24" i="10" s="1"/>
  <c r="Q23" i="10"/>
  <c r="K23" i="10"/>
  <c r="R23" i="10" s="1"/>
  <c r="G23" i="10"/>
  <c r="D23" i="10"/>
  <c r="E23" i="10" s="1"/>
  <c r="J23" i="10" s="1"/>
  <c r="Q22" i="10"/>
  <c r="K22" i="10"/>
  <c r="R22" i="10" s="1"/>
  <c r="G22" i="10"/>
  <c r="D22" i="10"/>
  <c r="E22" i="10" s="1"/>
  <c r="Q21" i="10"/>
  <c r="K21" i="10"/>
  <c r="R21" i="10" s="1"/>
  <c r="G21" i="10"/>
  <c r="D21" i="10"/>
  <c r="E21" i="10" s="1"/>
  <c r="J21" i="10" s="1"/>
  <c r="Q20" i="10"/>
  <c r="K20" i="10"/>
  <c r="M20" i="10" s="1"/>
  <c r="G20" i="10"/>
  <c r="D20" i="10"/>
  <c r="E20" i="10" s="1"/>
  <c r="J20" i="10" s="1"/>
  <c r="Q19" i="10"/>
  <c r="K19" i="10"/>
  <c r="G19" i="10"/>
  <c r="D19" i="10"/>
  <c r="E19" i="10" s="1"/>
  <c r="J19" i="10" s="1"/>
  <c r="Q18" i="10"/>
  <c r="K18" i="10"/>
  <c r="M18" i="10" s="1"/>
  <c r="G18" i="10"/>
  <c r="D18" i="10"/>
  <c r="E18" i="10" s="1"/>
  <c r="J18" i="10" s="1"/>
  <c r="Q17" i="10"/>
  <c r="K17" i="10"/>
  <c r="R17" i="10" s="1"/>
  <c r="G17" i="10"/>
  <c r="D17" i="10"/>
  <c r="E17" i="10" s="1"/>
  <c r="J17" i="10" s="1"/>
  <c r="Q16" i="10"/>
  <c r="K16" i="10"/>
  <c r="R16" i="10" s="1"/>
  <c r="G16" i="10"/>
  <c r="D16" i="10"/>
  <c r="E16" i="10" s="1"/>
  <c r="J16" i="10" s="1"/>
  <c r="Q15" i="10"/>
  <c r="K15" i="10"/>
  <c r="R15" i="10" s="1"/>
  <c r="G15" i="10"/>
  <c r="D15" i="10"/>
  <c r="E15" i="10" s="1"/>
  <c r="J15" i="10" s="1"/>
  <c r="E9" i="10"/>
  <c r="B8" i="10"/>
  <c r="H8" i="10" s="1"/>
  <c r="H7" i="10"/>
  <c r="E7" i="10"/>
  <c r="Q64" i="9"/>
  <c r="K64" i="9"/>
  <c r="R64" i="9" s="1"/>
  <c r="G64" i="9"/>
  <c r="D64" i="9"/>
  <c r="E64" i="9" s="1"/>
  <c r="J64" i="9" s="1"/>
  <c r="Q63" i="9"/>
  <c r="K63" i="9"/>
  <c r="R63" i="9" s="1"/>
  <c r="G63" i="9"/>
  <c r="D63" i="9"/>
  <c r="E63" i="9" s="1"/>
  <c r="J63" i="9" s="1"/>
  <c r="Q62" i="9"/>
  <c r="K62" i="9"/>
  <c r="G62" i="9"/>
  <c r="D62" i="9"/>
  <c r="E62" i="9" s="1"/>
  <c r="J62" i="9" s="1"/>
  <c r="R61" i="9"/>
  <c r="Q61" i="9"/>
  <c r="K61" i="9"/>
  <c r="G61" i="9"/>
  <c r="D61" i="9"/>
  <c r="E61" i="9" s="1"/>
  <c r="J61" i="9" s="1"/>
  <c r="Q60" i="9"/>
  <c r="K60" i="9"/>
  <c r="G60" i="9"/>
  <c r="D60" i="9"/>
  <c r="E60" i="9" s="1"/>
  <c r="J60" i="9" s="1"/>
  <c r="Q59" i="9"/>
  <c r="K59" i="9"/>
  <c r="R59" i="9" s="1"/>
  <c r="G59" i="9"/>
  <c r="D59" i="9"/>
  <c r="E59" i="9" s="1"/>
  <c r="J59" i="9" s="1"/>
  <c r="R58" i="9"/>
  <c r="Q58" i="9"/>
  <c r="M58" i="9"/>
  <c r="K58" i="9"/>
  <c r="G58" i="9"/>
  <c r="D58" i="9"/>
  <c r="E58" i="9" s="1"/>
  <c r="J58" i="9" s="1"/>
  <c r="Q57" i="9"/>
  <c r="K57" i="9"/>
  <c r="R57" i="9" s="1"/>
  <c r="G57" i="9"/>
  <c r="D57" i="9"/>
  <c r="E57" i="9" s="1"/>
  <c r="J57" i="9" s="1"/>
  <c r="Q56" i="9"/>
  <c r="K56" i="9"/>
  <c r="R56" i="9" s="1"/>
  <c r="G56" i="9"/>
  <c r="D56" i="9"/>
  <c r="E56" i="9" s="1"/>
  <c r="J56" i="9" s="1"/>
  <c r="Q55" i="9"/>
  <c r="K55" i="9"/>
  <c r="R55" i="9" s="1"/>
  <c r="G55" i="9"/>
  <c r="D55" i="9"/>
  <c r="E55" i="9" s="1"/>
  <c r="J55" i="9" s="1"/>
  <c r="Q54" i="9"/>
  <c r="K54" i="9"/>
  <c r="M54" i="9" s="1"/>
  <c r="G54" i="9"/>
  <c r="D54" i="9"/>
  <c r="E54" i="9" s="1"/>
  <c r="J54" i="9" s="1"/>
  <c r="R53" i="9"/>
  <c r="Q53" i="9"/>
  <c r="M53" i="9"/>
  <c r="K53" i="9"/>
  <c r="G53" i="9"/>
  <c r="D53" i="9"/>
  <c r="E53" i="9" s="1"/>
  <c r="J53" i="9" s="1"/>
  <c r="Q52" i="9"/>
  <c r="K52" i="9"/>
  <c r="G52" i="9"/>
  <c r="D52" i="9"/>
  <c r="E52" i="9" s="1"/>
  <c r="J52" i="9" s="1"/>
  <c r="Q51" i="9"/>
  <c r="K51" i="9"/>
  <c r="R51" i="9" s="1"/>
  <c r="G51" i="9"/>
  <c r="D51" i="9"/>
  <c r="E51" i="9" s="1"/>
  <c r="J51" i="9" s="1"/>
  <c r="R50" i="9"/>
  <c r="Q50" i="9"/>
  <c r="N50" i="9"/>
  <c r="M50" i="9"/>
  <c r="K50" i="9"/>
  <c r="G50" i="9"/>
  <c r="D50" i="9"/>
  <c r="E50" i="9" s="1"/>
  <c r="J50" i="9" s="1"/>
  <c r="Q49" i="9"/>
  <c r="K49" i="9"/>
  <c r="G49" i="9"/>
  <c r="D49" i="9"/>
  <c r="E49" i="9" s="1"/>
  <c r="J49" i="9" s="1"/>
  <c r="Q48" i="9"/>
  <c r="K48" i="9"/>
  <c r="R48" i="9" s="1"/>
  <c r="G48" i="9"/>
  <c r="D48" i="9"/>
  <c r="E48" i="9" s="1"/>
  <c r="J48" i="9" s="1"/>
  <c r="Q47" i="9"/>
  <c r="N47" i="9"/>
  <c r="M47" i="9"/>
  <c r="K47" i="9"/>
  <c r="R47" i="9" s="1"/>
  <c r="G47" i="9"/>
  <c r="D47" i="9"/>
  <c r="E47" i="9" s="1"/>
  <c r="J47" i="9" s="1"/>
  <c r="Q46" i="9"/>
  <c r="K46" i="9"/>
  <c r="M46" i="9" s="1"/>
  <c r="G46" i="9"/>
  <c r="D46" i="9"/>
  <c r="E46" i="9" s="1"/>
  <c r="J46" i="9" s="1"/>
  <c r="R45" i="9"/>
  <c r="Q45" i="9"/>
  <c r="M45" i="9"/>
  <c r="K45" i="9"/>
  <c r="G45" i="9"/>
  <c r="D45" i="9"/>
  <c r="E45" i="9" s="1"/>
  <c r="J45" i="9" s="1"/>
  <c r="Q44" i="9"/>
  <c r="K44" i="9"/>
  <c r="G44" i="9"/>
  <c r="D44" i="9"/>
  <c r="E44" i="9" s="1"/>
  <c r="L44" i="9" s="1"/>
  <c r="Q43" i="9"/>
  <c r="K43" i="9"/>
  <c r="R43" i="9" s="1"/>
  <c r="G43" i="9"/>
  <c r="D43" i="9"/>
  <c r="E43" i="9" s="1"/>
  <c r="J43" i="9" s="1"/>
  <c r="Q42" i="9"/>
  <c r="K42" i="9"/>
  <c r="R42" i="9" s="1"/>
  <c r="G42" i="9"/>
  <c r="D42" i="9"/>
  <c r="E42" i="9" s="1"/>
  <c r="J42" i="9" s="1"/>
  <c r="Q41" i="9"/>
  <c r="K41" i="9"/>
  <c r="R41" i="9" s="1"/>
  <c r="G41" i="9"/>
  <c r="D41" i="9"/>
  <c r="E41" i="9" s="1"/>
  <c r="J41" i="9" s="1"/>
  <c r="Q40" i="9"/>
  <c r="K40" i="9"/>
  <c r="R40" i="9" s="1"/>
  <c r="G40" i="9"/>
  <c r="D40" i="9"/>
  <c r="E40" i="9" s="1"/>
  <c r="J40" i="9" s="1"/>
  <c r="Q39" i="9"/>
  <c r="K39" i="9"/>
  <c r="R39" i="9" s="1"/>
  <c r="G39" i="9"/>
  <c r="D39" i="9"/>
  <c r="E39" i="9" s="1"/>
  <c r="J39" i="9" s="1"/>
  <c r="Q38" i="9"/>
  <c r="K38" i="9"/>
  <c r="M38" i="9" s="1"/>
  <c r="G38" i="9"/>
  <c r="D38" i="9"/>
  <c r="E38" i="9" s="1"/>
  <c r="J38" i="9" s="1"/>
  <c r="R37" i="9"/>
  <c r="Q37" i="9"/>
  <c r="M37" i="9"/>
  <c r="K37" i="9"/>
  <c r="G37" i="9"/>
  <c r="D37" i="9"/>
  <c r="E37" i="9" s="1"/>
  <c r="J37" i="9" s="1"/>
  <c r="Q36" i="9"/>
  <c r="K36" i="9"/>
  <c r="G36" i="9"/>
  <c r="D36" i="9"/>
  <c r="E36" i="9" s="1"/>
  <c r="J36" i="9" s="1"/>
  <c r="Q35" i="9"/>
  <c r="K35" i="9"/>
  <c r="R35" i="9" s="1"/>
  <c r="G35" i="9"/>
  <c r="D35" i="9"/>
  <c r="E35" i="9" s="1"/>
  <c r="J35" i="9" s="1"/>
  <c r="Q34" i="9"/>
  <c r="K34" i="9"/>
  <c r="R34" i="9" s="1"/>
  <c r="G34" i="9"/>
  <c r="D34" i="9"/>
  <c r="E34" i="9" s="1"/>
  <c r="J34" i="9" s="1"/>
  <c r="Q33" i="9"/>
  <c r="K33" i="9"/>
  <c r="R33" i="9" s="1"/>
  <c r="G33" i="9"/>
  <c r="D33" i="9"/>
  <c r="E33" i="9" s="1"/>
  <c r="J33" i="9" s="1"/>
  <c r="Q32" i="9"/>
  <c r="K32" i="9"/>
  <c r="R32" i="9" s="1"/>
  <c r="G32" i="9"/>
  <c r="D32" i="9"/>
  <c r="E32" i="9" s="1"/>
  <c r="J32" i="9" s="1"/>
  <c r="Q31" i="9"/>
  <c r="K31" i="9"/>
  <c r="R31" i="9" s="1"/>
  <c r="G31" i="9"/>
  <c r="D31" i="9"/>
  <c r="E31" i="9" s="1"/>
  <c r="J31" i="9" s="1"/>
  <c r="Q30" i="9"/>
  <c r="K30" i="9"/>
  <c r="R30" i="9" s="1"/>
  <c r="G30" i="9"/>
  <c r="D30" i="9"/>
  <c r="E30" i="9" s="1"/>
  <c r="J30" i="9" s="1"/>
  <c r="R29" i="9"/>
  <c r="Q29" i="9"/>
  <c r="M29" i="9"/>
  <c r="K29" i="9"/>
  <c r="G29" i="9"/>
  <c r="D29" i="9"/>
  <c r="E29" i="9" s="1"/>
  <c r="J29" i="9" s="1"/>
  <c r="Q28" i="9"/>
  <c r="K28" i="9"/>
  <c r="M28" i="9" s="1"/>
  <c r="G28" i="9"/>
  <c r="D28" i="9"/>
  <c r="E28" i="9" s="1"/>
  <c r="J28" i="9" s="1"/>
  <c r="Q27" i="9"/>
  <c r="K27" i="9"/>
  <c r="R27" i="9" s="1"/>
  <c r="G27" i="9"/>
  <c r="D27" i="9"/>
  <c r="E27" i="9" s="1"/>
  <c r="J27" i="9" s="1"/>
  <c r="Q26" i="9"/>
  <c r="K26" i="9"/>
  <c r="R26" i="9" s="1"/>
  <c r="G26" i="9"/>
  <c r="D26" i="9"/>
  <c r="E26" i="9" s="1"/>
  <c r="J26" i="9" s="1"/>
  <c r="Q25" i="9"/>
  <c r="K25" i="9"/>
  <c r="G25" i="9"/>
  <c r="E25" i="9"/>
  <c r="J25" i="9" s="1"/>
  <c r="D25" i="9"/>
  <c r="Q24" i="9"/>
  <c r="K24" i="9"/>
  <c r="R24" i="9" s="1"/>
  <c r="G24" i="9"/>
  <c r="D24" i="9"/>
  <c r="E24" i="9" s="1"/>
  <c r="J24" i="9" s="1"/>
  <c r="Q23" i="9"/>
  <c r="K23" i="9"/>
  <c r="R23" i="9" s="1"/>
  <c r="G23" i="9"/>
  <c r="D23" i="9"/>
  <c r="E23" i="9" s="1"/>
  <c r="J23" i="9" s="1"/>
  <c r="Q22" i="9"/>
  <c r="K22" i="9"/>
  <c r="G22" i="9"/>
  <c r="D22" i="9"/>
  <c r="E22" i="9" s="1"/>
  <c r="J22" i="9" s="1"/>
  <c r="R21" i="9"/>
  <c r="Q21" i="9"/>
  <c r="M21" i="9"/>
  <c r="K21" i="9"/>
  <c r="G21" i="9"/>
  <c r="D21" i="9"/>
  <c r="E21" i="9" s="1"/>
  <c r="J21" i="9" s="1"/>
  <c r="Q20" i="9"/>
  <c r="K20" i="9"/>
  <c r="G20" i="9"/>
  <c r="D20" i="9"/>
  <c r="E20" i="9" s="1"/>
  <c r="J20" i="9" s="1"/>
  <c r="Q19" i="9"/>
  <c r="K19" i="9"/>
  <c r="R19" i="9" s="1"/>
  <c r="G19" i="9"/>
  <c r="D19" i="9"/>
  <c r="E19" i="9" s="1"/>
  <c r="J19" i="9" s="1"/>
  <c r="Q18" i="9"/>
  <c r="K18" i="9"/>
  <c r="G18" i="9"/>
  <c r="D18" i="9"/>
  <c r="E18" i="9" s="1"/>
  <c r="J18" i="9" s="1"/>
  <c r="Q17" i="9"/>
  <c r="K17" i="9"/>
  <c r="G17" i="9"/>
  <c r="D17" i="9"/>
  <c r="E17" i="9" s="1"/>
  <c r="J17" i="9" s="1"/>
  <c r="Q16" i="9"/>
  <c r="K16" i="9"/>
  <c r="R16" i="9" s="1"/>
  <c r="G16" i="9"/>
  <c r="D16" i="9"/>
  <c r="E16" i="9" s="1"/>
  <c r="J16" i="9" s="1"/>
  <c r="Q15" i="9"/>
  <c r="K15" i="9"/>
  <c r="R15" i="9" s="1"/>
  <c r="G15" i="9"/>
  <c r="D15" i="9"/>
  <c r="E15" i="9" s="1"/>
  <c r="J15" i="9" s="1"/>
  <c r="E9" i="9"/>
  <c r="B8" i="9"/>
  <c r="H8" i="9" s="1"/>
  <c r="H7" i="9"/>
  <c r="E7" i="9"/>
  <c r="Q64" i="8"/>
  <c r="K64" i="8"/>
  <c r="R64" i="8" s="1"/>
  <c r="G64" i="8"/>
  <c r="D64" i="8"/>
  <c r="E64" i="8" s="1"/>
  <c r="J64" i="8" s="1"/>
  <c r="Q63" i="8"/>
  <c r="K63" i="8"/>
  <c r="M63" i="8" s="1"/>
  <c r="G63" i="8"/>
  <c r="E63" i="8"/>
  <c r="J63" i="8" s="1"/>
  <c r="D63" i="8"/>
  <c r="R62" i="8"/>
  <c r="Q62" i="8"/>
  <c r="M62" i="8"/>
  <c r="K62" i="8"/>
  <c r="G62" i="8"/>
  <c r="D62" i="8"/>
  <c r="E62" i="8" s="1"/>
  <c r="R61" i="8"/>
  <c r="Q61" i="8"/>
  <c r="K61" i="8"/>
  <c r="G61" i="8"/>
  <c r="D61" i="8"/>
  <c r="E61" i="8" s="1"/>
  <c r="Q60" i="8"/>
  <c r="K60" i="8"/>
  <c r="M60" i="8" s="1"/>
  <c r="G60" i="8"/>
  <c r="D60" i="8"/>
  <c r="E60" i="8" s="1"/>
  <c r="J60" i="8" s="1"/>
  <c r="Q59" i="8"/>
  <c r="K59" i="8"/>
  <c r="G59" i="8"/>
  <c r="D59" i="8"/>
  <c r="E59" i="8" s="1"/>
  <c r="J59" i="8" s="1"/>
  <c r="R58" i="8"/>
  <c r="Q58" i="8"/>
  <c r="M58" i="8"/>
  <c r="K58" i="8"/>
  <c r="L58" i="8" s="1"/>
  <c r="G58" i="8"/>
  <c r="D58" i="8"/>
  <c r="E58" i="8" s="1"/>
  <c r="Q57" i="8"/>
  <c r="K57" i="8"/>
  <c r="R57" i="8" s="1"/>
  <c r="G57" i="8"/>
  <c r="D57" i="8"/>
  <c r="E57" i="8" s="1"/>
  <c r="J57" i="8" s="1"/>
  <c r="Q56" i="8"/>
  <c r="K56" i="8"/>
  <c r="R56" i="8" s="1"/>
  <c r="G56" i="8"/>
  <c r="D56" i="8"/>
  <c r="E56" i="8" s="1"/>
  <c r="J56" i="8" s="1"/>
  <c r="Q55" i="8"/>
  <c r="K55" i="8"/>
  <c r="M55" i="8" s="1"/>
  <c r="G55" i="8"/>
  <c r="D55" i="8"/>
  <c r="E55" i="8" s="1"/>
  <c r="J55" i="8" s="1"/>
  <c r="R54" i="8"/>
  <c r="Q54" i="8"/>
  <c r="M54" i="8"/>
  <c r="K54" i="8"/>
  <c r="G54" i="8"/>
  <c r="D54" i="8"/>
  <c r="E54" i="8" s="1"/>
  <c r="R53" i="8"/>
  <c r="Q53" i="8"/>
  <c r="K53" i="8"/>
  <c r="G53" i="8"/>
  <c r="D53" i="8"/>
  <c r="E53" i="8" s="1"/>
  <c r="Q52" i="8"/>
  <c r="K52" i="8"/>
  <c r="G52" i="8"/>
  <c r="D52" i="8"/>
  <c r="E52" i="8" s="1"/>
  <c r="J52" i="8" s="1"/>
  <c r="Q51" i="8"/>
  <c r="K51" i="8"/>
  <c r="L51" i="8" s="1"/>
  <c r="G51" i="8"/>
  <c r="D51" i="8"/>
  <c r="E51" i="8" s="1"/>
  <c r="J51" i="8" s="1"/>
  <c r="R50" i="8"/>
  <c r="Q50" i="8"/>
  <c r="M50" i="8"/>
  <c r="K50" i="8"/>
  <c r="G50" i="8"/>
  <c r="D50" i="8"/>
  <c r="E50" i="8" s="1"/>
  <c r="Q49" i="8"/>
  <c r="K49" i="8"/>
  <c r="R49" i="8" s="1"/>
  <c r="G49" i="8"/>
  <c r="D49" i="8"/>
  <c r="E49" i="8" s="1"/>
  <c r="J49" i="8" s="1"/>
  <c r="Q48" i="8"/>
  <c r="K48" i="8"/>
  <c r="R48" i="8" s="1"/>
  <c r="G48" i="8"/>
  <c r="D48" i="8"/>
  <c r="E48" i="8" s="1"/>
  <c r="J48" i="8" s="1"/>
  <c r="Q47" i="8"/>
  <c r="K47" i="8"/>
  <c r="G47" i="8"/>
  <c r="D47" i="8"/>
  <c r="E47" i="8" s="1"/>
  <c r="J47" i="8" s="1"/>
  <c r="R46" i="8"/>
  <c r="Q46" i="8"/>
  <c r="M46" i="8"/>
  <c r="K46" i="8"/>
  <c r="G46" i="8"/>
  <c r="D46" i="8"/>
  <c r="E46" i="8" s="1"/>
  <c r="R45" i="8"/>
  <c r="Q45" i="8"/>
  <c r="K45" i="8"/>
  <c r="G45" i="8"/>
  <c r="D45" i="8"/>
  <c r="E45" i="8" s="1"/>
  <c r="Q44" i="8"/>
  <c r="K44" i="8"/>
  <c r="M44" i="8" s="1"/>
  <c r="G44" i="8"/>
  <c r="D44" i="8"/>
  <c r="E44" i="8" s="1"/>
  <c r="J44" i="8" s="1"/>
  <c r="Q43" i="8"/>
  <c r="K43" i="8"/>
  <c r="R43" i="8" s="1"/>
  <c r="G43" i="8"/>
  <c r="D43" i="8"/>
  <c r="E43" i="8" s="1"/>
  <c r="J43" i="8" s="1"/>
  <c r="R42" i="8"/>
  <c r="Q42" i="8"/>
  <c r="M42" i="8"/>
  <c r="K42" i="8"/>
  <c r="G42" i="8"/>
  <c r="D42" i="8"/>
  <c r="E42" i="8" s="1"/>
  <c r="Q41" i="8"/>
  <c r="K41" i="8"/>
  <c r="R41" i="8" s="1"/>
  <c r="G41" i="8"/>
  <c r="D41" i="8"/>
  <c r="E41" i="8" s="1"/>
  <c r="J41" i="8" s="1"/>
  <c r="Q40" i="8"/>
  <c r="K40" i="8"/>
  <c r="R40" i="8" s="1"/>
  <c r="G40" i="8"/>
  <c r="D40" i="8"/>
  <c r="E40" i="8" s="1"/>
  <c r="J40" i="8" s="1"/>
  <c r="Q39" i="8"/>
  <c r="K39" i="8"/>
  <c r="G39" i="8"/>
  <c r="D39" i="8"/>
  <c r="E39" i="8" s="1"/>
  <c r="J39" i="8" s="1"/>
  <c r="R38" i="8"/>
  <c r="Q38" i="8"/>
  <c r="M38" i="8"/>
  <c r="K38" i="8"/>
  <c r="L38" i="8" s="1"/>
  <c r="G38" i="8"/>
  <c r="D38" i="8"/>
  <c r="E38" i="8" s="1"/>
  <c r="R37" i="8"/>
  <c r="Q37" i="8"/>
  <c r="K37" i="8"/>
  <c r="G37" i="8"/>
  <c r="D37" i="8"/>
  <c r="E37" i="8" s="1"/>
  <c r="Q36" i="8"/>
  <c r="K36" i="8"/>
  <c r="M36" i="8" s="1"/>
  <c r="G36" i="8"/>
  <c r="D36" i="8"/>
  <c r="E36" i="8" s="1"/>
  <c r="J36" i="8" s="1"/>
  <c r="Q35" i="8"/>
  <c r="K35" i="8"/>
  <c r="R35" i="8" s="1"/>
  <c r="G35" i="8"/>
  <c r="D35" i="8"/>
  <c r="E35" i="8" s="1"/>
  <c r="J35" i="8" s="1"/>
  <c r="R34" i="8"/>
  <c r="Q34" i="8"/>
  <c r="M34" i="8"/>
  <c r="K34" i="8"/>
  <c r="G34" i="8"/>
  <c r="D34" i="8"/>
  <c r="E34" i="8" s="1"/>
  <c r="Q33" i="8"/>
  <c r="K33" i="8"/>
  <c r="R33" i="8" s="1"/>
  <c r="G33" i="8"/>
  <c r="D33" i="8"/>
  <c r="E33" i="8" s="1"/>
  <c r="J33" i="8" s="1"/>
  <c r="Q32" i="8"/>
  <c r="K32" i="8"/>
  <c r="R32" i="8" s="1"/>
  <c r="G32" i="8"/>
  <c r="D32" i="8"/>
  <c r="E32" i="8" s="1"/>
  <c r="J32" i="8" s="1"/>
  <c r="Q31" i="8"/>
  <c r="K31" i="8"/>
  <c r="M31" i="8" s="1"/>
  <c r="G31" i="8"/>
  <c r="E31" i="8"/>
  <c r="J31" i="8" s="1"/>
  <c r="D31" i="8"/>
  <c r="R30" i="8"/>
  <c r="Q30" i="8"/>
  <c r="M30" i="8"/>
  <c r="K30" i="8"/>
  <c r="G30" i="8"/>
  <c r="D30" i="8"/>
  <c r="E30" i="8" s="1"/>
  <c r="R29" i="8"/>
  <c r="Q29" i="8"/>
  <c r="K29" i="8"/>
  <c r="G29" i="8"/>
  <c r="D29" i="8"/>
  <c r="E29" i="8" s="1"/>
  <c r="J29" i="8" s="1"/>
  <c r="Q28" i="8"/>
  <c r="K28" i="8"/>
  <c r="M28" i="8" s="1"/>
  <c r="G28" i="8"/>
  <c r="D28" i="8"/>
  <c r="E28" i="8" s="1"/>
  <c r="J28" i="8" s="1"/>
  <c r="Q27" i="8"/>
  <c r="K27" i="8"/>
  <c r="M27" i="8" s="1"/>
  <c r="G27" i="8"/>
  <c r="D27" i="8"/>
  <c r="E27" i="8" s="1"/>
  <c r="J27" i="8" s="1"/>
  <c r="R26" i="8"/>
  <c r="Q26" i="8"/>
  <c r="M26" i="8"/>
  <c r="K26" i="8"/>
  <c r="G26" i="8"/>
  <c r="D26" i="8"/>
  <c r="E26" i="8" s="1"/>
  <c r="Q25" i="8"/>
  <c r="K25" i="8"/>
  <c r="R25" i="8" s="1"/>
  <c r="G25" i="8"/>
  <c r="D25" i="8"/>
  <c r="E25" i="8" s="1"/>
  <c r="J25" i="8" s="1"/>
  <c r="Q24" i="8"/>
  <c r="K24" i="8"/>
  <c r="R24" i="8" s="1"/>
  <c r="G24" i="8"/>
  <c r="D24" i="8"/>
  <c r="E24" i="8" s="1"/>
  <c r="J24" i="8" s="1"/>
  <c r="Q23" i="8"/>
  <c r="K23" i="8"/>
  <c r="M23" i="8" s="1"/>
  <c r="G23" i="8"/>
  <c r="D23" i="8"/>
  <c r="E23" i="8" s="1"/>
  <c r="J23" i="8" s="1"/>
  <c r="R22" i="8"/>
  <c r="Q22" i="8"/>
  <c r="M22" i="8"/>
  <c r="K22" i="8"/>
  <c r="G22" i="8"/>
  <c r="D22" i="8"/>
  <c r="E22" i="8" s="1"/>
  <c r="R21" i="8"/>
  <c r="Q21" i="8"/>
  <c r="K21" i="8"/>
  <c r="N21" i="8" s="1"/>
  <c r="G21" i="8"/>
  <c r="D21" i="8"/>
  <c r="E21" i="8" s="1"/>
  <c r="J21" i="8" s="1"/>
  <c r="Q20" i="8"/>
  <c r="K20" i="8"/>
  <c r="M20" i="8" s="1"/>
  <c r="G20" i="8"/>
  <c r="D20" i="8"/>
  <c r="E20" i="8" s="1"/>
  <c r="J20" i="8" s="1"/>
  <c r="Q19" i="8"/>
  <c r="K19" i="8"/>
  <c r="R19" i="8" s="1"/>
  <c r="G19" i="8"/>
  <c r="D19" i="8"/>
  <c r="E19" i="8" s="1"/>
  <c r="J19" i="8" s="1"/>
  <c r="Q18" i="8"/>
  <c r="K18" i="8"/>
  <c r="M18" i="8" s="1"/>
  <c r="G18" i="8"/>
  <c r="D18" i="8"/>
  <c r="E18" i="8" s="1"/>
  <c r="Q17" i="8"/>
  <c r="K17" i="8"/>
  <c r="R17" i="8" s="1"/>
  <c r="G17" i="8"/>
  <c r="D17" i="8"/>
  <c r="E17" i="8" s="1"/>
  <c r="J17" i="8" s="1"/>
  <c r="Q16" i="8"/>
  <c r="K16" i="8"/>
  <c r="R16" i="8" s="1"/>
  <c r="G16" i="8"/>
  <c r="D16" i="8"/>
  <c r="E16" i="8" s="1"/>
  <c r="J16" i="8" s="1"/>
  <c r="Q15" i="8"/>
  <c r="K15" i="8"/>
  <c r="G15" i="8"/>
  <c r="D15" i="8"/>
  <c r="E15" i="8" s="1"/>
  <c r="J15" i="8" s="1"/>
  <c r="E9" i="8"/>
  <c r="B8" i="8"/>
  <c r="H8" i="8" s="1"/>
  <c r="H7" i="8"/>
  <c r="E7" i="8"/>
  <c r="Q64" i="7"/>
  <c r="K64" i="7"/>
  <c r="R64" i="7" s="1"/>
  <c r="G64" i="7"/>
  <c r="D64" i="7"/>
  <c r="E64" i="7" s="1"/>
  <c r="J64" i="7" s="1"/>
  <c r="Q63" i="7"/>
  <c r="K63" i="7"/>
  <c r="R63" i="7" s="1"/>
  <c r="G63" i="7"/>
  <c r="D63" i="7"/>
  <c r="E63" i="7" s="1"/>
  <c r="J63" i="7" s="1"/>
  <c r="Q62" i="7"/>
  <c r="K62" i="7"/>
  <c r="M62" i="7" s="1"/>
  <c r="G62" i="7"/>
  <c r="D62" i="7"/>
  <c r="E62" i="7" s="1"/>
  <c r="J62" i="7" s="1"/>
  <c r="R61" i="7"/>
  <c r="Q61" i="7"/>
  <c r="K61" i="7"/>
  <c r="G61" i="7"/>
  <c r="D61" i="7"/>
  <c r="E61" i="7" s="1"/>
  <c r="Q60" i="7"/>
  <c r="K60" i="7"/>
  <c r="G60" i="7"/>
  <c r="D60" i="7"/>
  <c r="E60" i="7" s="1"/>
  <c r="J60" i="7" s="1"/>
  <c r="Q59" i="7"/>
  <c r="K59" i="7"/>
  <c r="R59" i="7" s="1"/>
  <c r="G59" i="7"/>
  <c r="D59" i="7"/>
  <c r="E59" i="7" s="1"/>
  <c r="J59" i="7" s="1"/>
  <c r="R58" i="7"/>
  <c r="Q58" i="7"/>
  <c r="M58" i="7"/>
  <c r="K58" i="7"/>
  <c r="G58" i="7"/>
  <c r="D58" i="7"/>
  <c r="E58" i="7" s="1"/>
  <c r="Q57" i="7"/>
  <c r="K57" i="7"/>
  <c r="G57" i="7"/>
  <c r="D57" i="7"/>
  <c r="E57" i="7" s="1"/>
  <c r="J57" i="7" s="1"/>
  <c r="Q56" i="7"/>
  <c r="K56" i="7"/>
  <c r="R56" i="7" s="1"/>
  <c r="G56" i="7"/>
  <c r="D56" i="7"/>
  <c r="E56" i="7" s="1"/>
  <c r="J56" i="7" s="1"/>
  <c r="Q55" i="7"/>
  <c r="K55" i="7"/>
  <c r="R55" i="7" s="1"/>
  <c r="G55" i="7"/>
  <c r="D55" i="7"/>
  <c r="E55" i="7" s="1"/>
  <c r="J55" i="7" s="1"/>
  <c r="Q54" i="7"/>
  <c r="K54" i="7"/>
  <c r="R54" i="7" s="1"/>
  <c r="G54" i="7"/>
  <c r="D54" i="7"/>
  <c r="E54" i="7" s="1"/>
  <c r="J54" i="7" s="1"/>
  <c r="R53" i="7"/>
  <c r="Q53" i="7"/>
  <c r="K53" i="7"/>
  <c r="M53" i="7" s="1"/>
  <c r="G53" i="7"/>
  <c r="D53" i="7"/>
  <c r="E53" i="7" s="1"/>
  <c r="Q52" i="7"/>
  <c r="K52" i="7"/>
  <c r="G52" i="7"/>
  <c r="D52" i="7"/>
  <c r="E52" i="7" s="1"/>
  <c r="J52" i="7" s="1"/>
  <c r="Q51" i="7"/>
  <c r="K51" i="7"/>
  <c r="R51" i="7" s="1"/>
  <c r="G51" i="7"/>
  <c r="D51" i="7"/>
  <c r="E51" i="7" s="1"/>
  <c r="J51" i="7" s="1"/>
  <c r="R50" i="7"/>
  <c r="Q50" i="7"/>
  <c r="M50" i="7"/>
  <c r="K50" i="7"/>
  <c r="G50" i="7"/>
  <c r="D50" i="7"/>
  <c r="E50" i="7" s="1"/>
  <c r="Q49" i="7"/>
  <c r="K49" i="7"/>
  <c r="G49" i="7"/>
  <c r="D49" i="7"/>
  <c r="E49" i="7" s="1"/>
  <c r="J49" i="7" s="1"/>
  <c r="Q48" i="7"/>
  <c r="K48" i="7"/>
  <c r="R48" i="7" s="1"/>
  <c r="G48" i="7"/>
  <c r="D48" i="7"/>
  <c r="E48" i="7" s="1"/>
  <c r="J48" i="7" s="1"/>
  <c r="Q47" i="7"/>
  <c r="K47" i="7"/>
  <c r="R47" i="7" s="1"/>
  <c r="G47" i="7"/>
  <c r="D47" i="7"/>
  <c r="E47" i="7" s="1"/>
  <c r="J47" i="7" s="1"/>
  <c r="Q46" i="7"/>
  <c r="K46" i="7"/>
  <c r="G46" i="7"/>
  <c r="D46" i="7"/>
  <c r="E46" i="7" s="1"/>
  <c r="J46" i="7" s="1"/>
  <c r="R45" i="7"/>
  <c r="Q45" i="7"/>
  <c r="K45" i="7"/>
  <c r="G45" i="7"/>
  <c r="D45" i="7"/>
  <c r="E45" i="7" s="1"/>
  <c r="Q44" i="7"/>
  <c r="K44" i="7"/>
  <c r="M44" i="7" s="1"/>
  <c r="G44" i="7"/>
  <c r="D44" i="7"/>
  <c r="E44" i="7" s="1"/>
  <c r="J44" i="7" s="1"/>
  <c r="Q43" i="7"/>
  <c r="K43" i="7"/>
  <c r="R43" i="7" s="1"/>
  <c r="G43" i="7"/>
  <c r="D43" i="7"/>
  <c r="E43" i="7" s="1"/>
  <c r="J43" i="7" s="1"/>
  <c r="R42" i="7"/>
  <c r="Q42" i="7"/>
  <c r="M42" i="7"/>
  <c r="K42" i="7"/>
  <c r="G42" i="7"/>
  <c r="D42" i="7"/>
  <c r="E42" i="7" s="1"/>
  <c r="Q41" i="7"/>
  <c r="K41" i="7"/>
  <c r="G41" i="7"/>
  <c r="D41" i="7"/>
  <c r="E41" i="7" s="1"/>
  <c r="J41" i="7" s="1"/>
  <c r="Q40" i="7"/>
  <c r="K40" i="7"/>
  <c r="R40" i="7" s="1"/>
  <c r="G40" i="7"/>
  <c r="D40" i="7"/>
  <c r="E40" i="7" s="1"/>
  <c r="J40" i="7" s="1"/>
  <c r="Q39" i="7"/>
  <c r="K39" i="7"/>
  <c r="R39" i="7" s="1"/>
  <c r="G39" i="7"/>
  <c r="D39" i="7"/>
  <c r="E39" i="7" s="1"/>
  <c r="J39" i="7" s="1"/>
  <c r="Q38" i="7"/>
  <c r="K38" i="7"/>
  <c r="R38" i="7" s="1"/>
  <c r="G38" i="7"/>
  <c r="D38" i="7"/>
  <c r="E38" i="7" s="1"/>
  <c r="J38" i="7" s="1"/>
  <c r="R37" i="7"/>
  <c r="Q37" i="7"/>
  <c r="K37" i="7"/>
  <c r="G37" i="7"/>
  <c r="D37" i="7"/>
  <c r="E37" i="7" s="1"/>
  <c r="Q36" i="7"/>
  <c r="K36" i="7"/>
  <c r="G36" i="7"/>
  <c r="D36" i="7"/>
  <c r="E36" i="7" s="1"/>
  <c r="J36" i="7" s="1"/>
  <c r="Q35" i="7"/>
  <c r="K35" i="7"/>
  <c r="R35" i="7" s="1"/>
  <c r="G35" i="7"/>
  <c r="D35" i="7"/>
  <c r="E35" i="7" s="1"/>
  <c r="J35" i="7" s="1"/>
  <c r="R34" i="7"/>
  <c r="Q34" i="7"/>
  <c r="M34" i="7"/>
  <c r="K34" i="7"/>
  <c r="G34" i="7"/>
  <c r="D34" i="7"/>
  <c r="E34" i="7" s="1"/>
  <c r="Q33" i="7"/>
  <c r="K33" i="7"/>
  <c r="G33" i="7"/>
  <c r="D33" i="7"/>
  <c r="E33" i="7" s="1"/>
  <c r="J33" i="7" s="1"/>
  <c r="Q32" i="7"/>
  <c r="K32" i="7"/>
  <c r="R32" i="7" s="1"/>
  <c r="G32" i="7"/>
  <c r="D32" i="7"/>
  <c r="E32" i="7" s="1"/>
  <c r="J32" i="7" s="1"/>
  <c r="Q31" i="7"/>
  <c r="K31" i="7"/>
  <c r="R31" i="7" s="1"/>
  <c r="G31" i="7"/>
  <c r="E31" i="7"/>
  <c r="J31" i="7" s="1"/>
  <c r="D31" i="7"/>
  <c r="Q30" i="7"/>
  <c r="K30" i="7"/>
  <c r="G30" i="7"/>
  <c r="D30" i="7"/>
  <c r="E30" i="7" s="1"/>
  <c r="J30" i="7" s="1"/>
  <c r="R29" i="7"/>
  <c r="Q29" i="7"/>
  <c r="K29" i="7"/>
  <c r="G29" i="7"/>
  <c r="D29" i="7"/>
  <c r="E29" i="7" s="1"/>
  <c r="Q28" i="7"/>
  <c r="K28" i="7"/>
  <c r="R28" i="7" s="1"/>
  <c r="J28" i="7"/>
  <c r="G28" i="7"/>
  <c r="E28" i="7"/>
  <c r="D28" i="7"/>
  <c r="Q27" i="7"/>
  <c r="K27" i="7"/>
  <c r="R27" i="7" s="1"/>
  <c r="G27" i="7"/>
  <c r="D27" i="7"/>
  <c r="E27" i="7" s="1"/>
  <c r="J27" i="7" s="1"/>
  <c r="R26" i="7"/>
  <c r="Q26" i="7"/>
  <c r="M26" i="7"/>
  <c r="K26" i="7"/>
  <c r="G26" i="7"/>
  <c r="D26" i="7"/>
  <c r="E26" i="7" s="1"/>
  <c r="Q25" i="7"/>
  <c r="K25" i="7"/>
  <c r="G25" i="7"/>
  <c r="D25" i="7"/>
  <c r="E25" i="7" s="1"/>
  <c r="J25" i="7" s="1"/>
  <c r="Q24" i="7"/>
  <c r="K24" i="7"/>
  <c r="R24" i="7" s="1"/>
  <c r="G24" i="7"/>
  <c r="D24" i="7"/>
  <c r="E24" i="7" s="1"/>
  <c r="J24" i="7" s="1"/>
  <c r="Q23" i="7"/>
  <c r="K23" i="7"/>
  <c r="R23" i="7" s="1"/>
  <c r="G23" i="7"/>
  <c r="D23" i="7"/>
  <c r="E23" i="7" s="1"/>
  <c r="J23" i="7" s="1"/>
  <c r="Q22" i="7"/>
  <c r="K22" i="7"/>
  <c r="G22" i="7"/>
  <c r="D22" i="7"/>
  <c r="E22" i="7" s="1"/>
  <c r="J22" i="7" s="1"/>
  <c r="R21" i="7"/>
  <c r="Q21" i="7"/>
  <c r="K21" i="7"/>
  <c r="G21" i="7"/>
  <c r="D21" i="7"/>
  <c r="E21" i="7" s="1"/>
  <c r="Q20" i="7"/>
  <c r="K20" i="7"/>
  <c r="R20" i="7" s="1"/>
  <c r="G20" i="7"/>
  <c r="D20" i="7"/>
  <c r="E20" i="7" s="1"/>
  <c r="J20" i="7" s="1"/>
  <c r="Q19" i="7"/>
  <c r="K19" i="7"/>
  <c r="R19" i="7" s="1"/>
  <c r="G19" i="7"/>
  <c r="D19" i="7"/>
  <c r="E19" i="7" s="1"/>
  <c r="J19" i="7" s="1"/>
  <c r="Q18" i="7"/>
  <c r="K18" i="7"/>
  <c r="R18" i="7" s="1"/>
  <c r="G18" i="7"/>
  <c r="D18" i="7"/>
  <c r="E18" i="7" s="1"/>
  <c r="Q17" i="7"/>
  <c r="K17" i="7"/>
  <c r="G17" i="7"/>
  <c r="D17" i="7"/>
  <c r="E17" i="7" s="1"/>
  <c r="J17" i="7" s="1"/>
  <c r="Q16" i="7"/>
  <c r="K16" i="7"/>
  <c r="R16" i="7" s="1"/>
  <c r="G16" i="7"/>
  <c r="D16" i="7"/>
  <c r="E16" i="7" s="1"/>
  <c r="J16" i="7" s="1"/>
  <c r="Q15" i="7"/>
  <c r="K15" i="7"/>
  <c r="R15" i="7" s="1"/>
  <c r="G15" i="7"/>
  <c r="D15" i="7"/>
  <c r="E15" i="7" s="1"/>
  <c r="J15" i="7" s="1"/>
  <c r="E9" i="7"/>
  <c r="B8" i="7"/>
  <c r="H8" i="7" s="1"/>
  <c r="H7" i="7"/>
  <c r="E7" i="7"/>
  <c r="Q64" i="6"/>
  <c r="K64" i="6"/>
  <c r="R64" i="6" s="1"/>
  <c r="G64" i="6"/>
  <c r="D64" i="6"/>
  <c r="E64" i="6" s="1"/>
  <c r="J64" i="6" s="1"/>
  <c r="Q63" i="6"/>
  <c r="K63" i="6"/>
  <c r="M63" i="6" s="1"/>
  <c r="G63" i="6"/>
  <c r="D63" i="6"/>
  <c r="E63" i="6" s="1"/>
  <c r="J63" i="6" s="1"/>
  <c r="Q62" i="6"/>
  <c r="K62" i="6"/>
  <c r="R62" i="6" s="1"/>
  <c r="G62" i="6"/>
  <c r="D62" i="6"/>
  <c r="E62" i="6" s="1"/>
  <c r="J62" i="6" s="1"/>
  <c r="Q61" i="6"/>
  <c r="K61" i="6"/>
  <c r="R61" i="6" s="1"/>
  <c r="G61" i="6"/>
  <c r="D61" i="6"/>
  <c r="E61" i="6" s="1"/>
  <c r="J61" i="6" s="1"/>
  <c r="Q60" i="6"/>
  <c r="K60" i="6"/>
  <c r="G60" i="6"/>
  <c r="D60" i="6"/>
  <c r="E60" i="6" s="1"/>
  <c r="J60" i="6" s="1"/>
  <c r="Q59" i="6"/>
  <c r="K59" i="6"/>
  <c r="G59" i="6"/>
  <c r="D59" i="6"/>
  <c r="E59" i="6" s="1"/>
  <c r="J59" i="6" s="1"/>
  <c r="Q58" i="6"/>
  <c r="K58" i="6"/>
  <c r="R58" i="6" s="1"/>
  <c r="G58" i="6"/>
  <c r="D58" i="6"/>
  <c r="E58" i="6" s="1"/>
  <c r="J58" i="6" s="1"/>
  <c r="Q57" i="6"/>
  <c r="K57" i="6"/>
  <c r="R57" i="6" s="1"/>
  <c r="G57" i="6"/>
  <c r="D57" i="6"/>
  <c r="E57" i="6" s="1"/>
  <c r="J57" i="6" s="1"/>
  <c r="Q56" i="6"/>
  <c r="K56" i="6"/>
  <c r="R56" i="6" s="1"/>
  <c r="G56" i="6"/>
  <c r="D56" i="6"/>
  <c r="E56" i="6" s="1"/>
  <c r="J56" i="6" s="1"/>
  <c r="Q55" i="6"/>
  <c r="K55" i="6"/>
  <c r="G55" i="6"/>
  <c r="D55" i="6"/>
  <c r="E55" i="6" s="1"/>
  <c r="J55" i="6" s="1"/>
  <c r="Q54" i="6"/>
  <c r="K54" i="6"/>
  <c r="R54" i="6" s="1"/>
  <c r="G54" i="6"/>
  <c r="D54" i="6"/>
  <c r="E54" i="6" s="1"/>
  <c r="J54" i="6" s="1"/>
  <c r="Q53" i="6"/>
  <c r="K53" i="6"/>
  <c r="R53" i="6" s="1"/>
  <c r="G53" i="6"/>
  <c r="D53" i="6"/>
  <c r="E53" i="6" s="1"/>
  <c r="J53" i="6" s="1"/>
  <c r="Q52" i="6"/>
  <c r="K52" i="6"/>
  <c r="G52" i="6"/>
  <c r="D52" i="6"/>
  <c r="E52" i="6" s="1"/>
  <c r="J52" i="6" s="1"/>
  <c r="Q51" i="6"/>
  <c r="K51" i="6"/>
  <c r="G51" i="6"/>
  <c r="D51" i="6"/>
  <c r="E51" i="6" s="1"/>
  <c r="J51" i="6" s="1"/>
  <c r="Q50" i="6"/>
  <c r="K50" i="6"/>
  <c r="R50" i="6" s="1"/>
  <c r="G50" i="6"/>
  <c r="D50" i="6"/>
  <c r="E50" i="6" s="1"/>
  <c r="J50" i="6" s="1"/>
  <c r="Q49" i="6"/>
  <c r="K49" i="6"/>
  <c r="R49" i="6" s="1"/>
  <c r="G49" i="6"/>
  <c r="D49" i="6"/>
  <c r="E49" i="6" s="1"/>
  <c r="J49" i="6" s="1"/>
  <c r="Q48" i="6"/>
  <c r="K48" i="6"/>
  <c r="R48" i="6" s="1"/>
  <c r="G48" i="6"/>
  <c r="D48" i="6"/>
  <c r="E48" i="6" s="1"/>
  <c r="J48" i="6" s="1"/>
  <c r="Q47" i="6"/>
  <c r="K47" i="6"/>
  <c r="G47" i="6"/>
  <c r="D47" i="6"/>
  <c r="E47" i="6" s="1"/>
  <c r="J47" i="6" s="1"/>
  <c r="Q46" i="6"/>
  <c r="K46" i="6"/>
  <c r="R46" i="6" s="1"/>
  <c r="G46" i="6"/>
  <c r="D46" i="6"/>
  <c r="E46" i="6" s="1"/>
  <c r="J46" i="6" s="1"/>
  <c r="Q45" i="6"/>
  <c r="K45" i="6"/>
  <c r="R45" i="6" s="1"/>
  <c r="G45" i="6"/>
  <c r="D45" i="6"/>
  <c r="E45" i="6" s="1"/>
  <c r="J45" i="6" s="1"/>
  <c r="Q44" i="6"/>
  <c r="K44" i="6"/>
  <c r="G44" i="6"/>
  <c r="D44" i="6"/>
  <c r="E44" i="6" s="1"/>
  <c r="J44" i="6" s="1"/>
  <c r="Q43" i="6"/>
  <c r="K43" i="6"/>
  <c r="G43" i="6"/>
  <c r="D43" i="6"/>
  <c r="E43" i="6" s="1"/>
  <c r="J43" i="6" s="1"/>
  <c r="Q42" i="6"/>
  <c r="K42" i="6"/>
  <c r="R42" i="6" s="1"/>
  <c r="G42" i="6"/>
  <c r="D42" i="6"/>
  <c r="E42" i="6" s="1"/>
  <c r="J42" i="6" s="1"/>
  <c r="Q41" i="6"/>
  <c r="K41" i="6"/>
  <c r="R41" i="6" s="1"/>
  <c r="G41" i="6"/>
  <c r="D41" i="6"/>
  <c r="E41" i="6" s="1"/>
  <c r="J41" i="6" s="1"/>
  <c r="Q40" i="6"/>
  <c r="K40" i="6"/>
  <c r="R40" i="6" s="1"/>
  <c r="G40" i="6"/>
  <c r="D40" i="6"/>
  <c r="E40" i="6" s="1"/>
  <c r="J40" i="6" s="1"/>
  <c r="Q39" i="6"/>
  <c r="K39" i="6"/>
  <c r="R39" i="6" s="1"/>
  <c r="G39" i="6"/>
  <c r="D39" i="6"/>
  <c r="E39" i="6" s="1"/>
  <c r="J39" i="6" s="1"/>
  <c r="Q38" i="6"/>
  <c r="K38" i="6"/>
  <c r="R38" i="6" s="1"/>
  <c r="G38" i="6"/>
  <c r="D38" i="6"/>
  <c r="E38" i="6" s="1"/>
  <c r="Q37" i="6"/>
  <c r="K37" i="6"/>
  <c r="R37" i="6" s="1"/>
  <c r="G37" i="6"/>
  <c r="D37" i="6"/>
  <c r="E37" i="6" s="1"/>
  <c r="J37" i="6" s="1"/>
  <c r="Q36" i="6"/>
  <c r="K36" i="6"/>
  <c r="G36" i="6"/>
  <c r="D36" i="6"/>
  <c r="E36" i="6" s="1"/>
  <c r="J36" i="6" s="1"/>
  <c r="Q35" i="6"/>
  <c r="K35" i="6"/>
  <c r="G35" i="6"/>
  <c r="D35" i="6"/>
  <c r="E35" i="6" s="1"/>
  <c r="J35" i="6" s="1"/>
  <c r="Q34" i="6"/>
  <c r="K34" i="6"/>
  <c r="R34" i="6" s="1"/>
  <c r="G34" i="6"/>
  <c r="D34" i="6"/>
  <c r="E34" i="6" s="1"/>
  <c r="J34" i="6" s="1"/>
  <c r="Q33" i="6"/>
  <c r="K33" i="6"/>
  <c r="R33" i="6" s="1"/>
  <c r="G33" i="6"/>
  <c r="D33" i="6"/>
  <c r="E33" i="6" s="1"/>
  <c r="J33" i="6" s="1"/>
  <c r="Q32" i="6"/>
  <c r="K32" i="6"/>
  <c r="R32" i="6" s="1"/>
  <c r="G32" i="6"/>
  <c r="D32" i="6"/>
  <c r="E32" i="6" s="1"/>
  <c r="J32" i="6" s="1"/>
  <c r="Q31" i="6"/>
  <c r="K31" i="6"/>
  <c r="R31" i="6" s="1"/>
  <c r="G31" i="6"/>
  <c r="D31" i="6"/>
  <c r="E31" i="6" s="1"/>
  <c r="J31" i="6" s="1"/>
  <c r="Q30" i="6"/>
  <c r="K30" i="6"/>
  <c r="R30" i="6" s="1"/>
  <c r="G30" i="6"/>
  <c r="D30" i="6"/>
  <c r="E30" i="6" s="1"/>
  <c r="Q29" i="6"/>
  <c r="K29" i="6"/>
  <c r="R29" i="6" s="1"/>
  <c r="G29" i="6"/>
  <c r="D29" i="6"/>
  <c r="E29" i="6" s="1"/>
  <c r="J29" i="6" s="1"/>
  <c r="Q28" i="6"/>
  <c r="K28" i="6"/>
  <c r="G28" i="6"/>
  <c r="D28" i="6"/>
  <c r="E28" i="6" s="1"/>
  <c r="J28" i="6" s="1"/>
  <c r="Q27" i="6"/>
  <c r="K27" i="6"/>
  <c r="G27" i="6"/>
  <c r="D27" i="6"/>
  <c r="E27" i="6" s="1"/>
  <c r="J27" i="6" s="1"/>
  <c r="Q26" i="6"/>
  <c r="K26" i="6"/>
  <c r="R26" i="6" s="1"/>
  <c r="G26" i="6"/>
  <c r="D26" i="6"/>
  <c r="E26" i="6" s="1"/>
  <c r="J26" i="6" s="1"/>
  <c r="Q25" i="6"/>
  <c r="K25" i="6"/>
  <c r="R25" i="6" s="1"/>
  <c r="G25" i="6"/>
  <c r="D25" i="6"/>
  <c r="E25" i="6" s="1"/>
  <c r="J25" i="6" s="1"/>
  <c r="Q24" i="6"/>
  <c r="K24" i="6"/>
  <c r="R24" i="6" s="1"/>
  <c r="G24" i="6"/>
  <c r="D24" i="6"/>
  <c r="E24" i="6" s="1"/>
  <c r="J24" i="6" s="1"/>
  <c r="Q23" i="6"/>
  <c r="K23" i="6"/>
  <c r="R23" i="6" s="1"/>
  <c r="G23" i="6"/>
  <c r="D23" i="6"/>
  <c r="E23" i="6" s="1"/>
  <c r="J23" i="6" s="1"/>
  <c r="Q22" i="6"/>
  <c r="K22" i="6"/>
  <c r="R22" i="6" s="1"/>
  <c r="G22" i="6"/>
  <c r="D22" i="6"/>
  <c r="E22" i="6" s="1"/>
  <c r="Q21" i="6"/>
  <c r="K21" i="6"/>
  <c r="R21" i="6" s="1"/>
  <c r="G21" i="6"/>
  <c r="D21" i="6"/>
  <c r="E21" i="6" s="1"/>
  <c r="J21" i="6" s="1"/>
  <c r="Q20" i="6"/>
  <c r="K20" i="6"/>
  <c r="G20" i="6"/>
  <c r="D20" i="6"/>
  <c r="E20" i="6" s="1"/>
  <c r="J20" i="6" s="1"/>
  <c r="Q19" i="6"/>
  <c r="K19" i="6"/>
  <c r="G19" i="6"/>
  <c r="D19" i="6"/>
  <c r="E19" i="6" s="1"/>
  <c r="J19" i="6" s="1"/>
  <c r="Q18" i="6"/>
  <c r="K18" i="6"/>
  <c r="R18" i="6" s="1"/>
  <c r="G18" i="6"/>
  <c r="D18" i="6"/>
  <c r="E18" i="6" s="1"/>
  <c r="J18" i="6" s="1"/>
  <c r="Q17" i="6"/>
  <c r="K17" i="6"/>
  <c r="R17" i="6" s="1"/>
  <c r="G17" i="6"/>
  <c r="D17" i="6"/>
  <c r="E17" i="6" s="1"/>
  <c r="J17" i="6" s="1"/>
  <c r="Q16" i="6"/>
  <c r="K16" i="6"/>
  <c r="R16" i="6" s="1"/>
  <c r="G16" i="6"/>
  <c r="D16" i="6"/>
  <c r="E16" i="6" s="1"/>
  <c r="J16" i="6" s="1"/>
  <c r="Q15" i="6"/>
  <c r="K15" i="6"/>
  <c r="R15" i="6" s="1"/>
  <c r="G15" i="6"/>
  <c r="D15" i="6"/>
  <c r="E15" i="6" s="1"/>
  <c r="J15" i="6" s="1"/>
  <c r="E10" i="6"/>
  <c r="E9" i="6"/>
  <c r="B8" i="6"/>
  <c r="H8" i="6" s="1"/>
  <c r="H7" i="6"/>
  <c r="E7" i="6"/>
  <c r="Q64" i="5"/>
  <c r="K64" i="5"/>
  <c r="R64" i="5" s="1"/>
  <c r="G64" i="5"/>
  <c r="D64" i="5"/>
  <c r="E64" i="5" s="1"/>
  <c r="J64" i="5" s="1"/>
  <c r="Q63" i="5"/>
  <c r="K63" i="5"/>
  <c r="G63" i="5"/>
  <c r="D63" i="5"/>
  <c r="E63" i="5" s="1"/>
  <c r="J63" i="5" s="1"/>
  <c r="R62" i="5"/>
  <c r="Q62" i="5"/>
  <c r="K62" i="5"/>
  <c r="G62" i="5"/>
  <c r="D62" i="5"/>
  <c r="E62" i="5" s="1"/>
  <c r="J62" i="5" s="1"/>
  <c r="R61" i="5"/>
  <c r="Q61" i="5"/>
  <c r="M61" i="5"/>
  <c r="K61" i="5"/>
  <c r="G61" i="5"/>
  <c r="D61" i="5"/>
  <c r="E61" i="5" s="1"/>
  <c r="Q60" i="5"/>
  <c r="K60" i="5"/>
  <c r="R60" i="5" s="1"/>
  <c r="G60" i="5"/>
  <c r="D60" i="5"/>
  <c r="E60" i="5" s="1"/>
  <c r="J60" i="5" s="1"/>
  <c r="Q59" i="5"/>
  <c r="M59" i="5"/>
  <c r="K59" i="5"/>
  <c r="R59" i="5" s="1"/>
  <c r="G59" i="5"/>
  <c r="D59" i="5"/>
  <c r="E59" i="5" s="1"/>
  <c r="Q58" i="5"/>
  <c r="K58" i="5"/>
  <c r="R58" i="5" s="1"/>
  <c r="G58" i="5"/>
  <c r="D58" i="5"/>
  <c r="E58" i="5" s="1"/>
  <c r="J58" i="5" s="1"/>
  <c r="Q57" i="5"/>
  <c r="K57" i="5"/>
  <c r="R57" i="5" s="1"/>
  <c r="G57" i="5"/>
  <c r="D57" i="5"/>
  <c r="E57" i="5" s="1"/>
  <c r="J57" i="5" s="1"/>
  <c r="R56" i="5"/>
  <c r="Q56" i="5"/>
  <c r="K56" i="5"/>
  <c r="G56" i="5"/>
  <c r="D56" i="5"/>
  <c r="E56" i="5" s="1"/>
  <c r="J56" i="5" s="1"/>
  <c r="Q55" i="5"/>
  <c r="K55" i="5"/>
  <c r="M55" i="5" s="1"/>
  <c r="G55" i="5"/>
  <c r="D55" i="5"/>
  <c r="E55" i="5" s="1"/>
  <c r="J55" i="5" s="1"/>
  <c r="R54" i="5"/>
  <c r="Q54" i="5"/>
  <c r="M54" i="5"/>
  <c r="K54" i="5"/>
  <c r="G54" i="5"/>
  <c r="D54" i="5"/>
  <c r="E54" i="5" s="1"/>
  <c r="J54" i="5" s="1"/>
  <c r="R53" i="5"/>
  <c r="Q53" i="5"/>
  <c r="M53" i="5"/>
  <c r="K53" i="5"/>
  <c r="G53" i="5"/>
  <c r="D53" i="5"/>
  <c r="E53" i="5" s="1"/>
  <c r="Q52" i="5"/>
  <c r="K52" i="5"/>
  <c r="R52" i="5" s="1"/>
  <c r="G52" i="5"/>
  <c r="D52" i="5"/>
  <c r="E52" i="5" s="1"/>
  <c r="J52" i="5" s="1"/>
  <c r="Q51" i="5"/>
  <c r="M51" i="5"/>
  <c r="K51" i="5"/>
  <c r="R51" i="5" s="1"/>
  <c r="G51" i="5"/>
  <c r="D51" i="5"/>
  <c r="E51" i="5" s="1"/>
  <c r="Q50" i="5"/>
  <c r="K50" i="5"/>
  <c r="M50" i="5" s="1"/>
  <c r="G50" i="5"/>
  <c r="D50" i="5"/>
  <c r="E50" i="5" s="1"/>
  <c r="J50" i="5" s="1"/>
  <c r="Q49" i="5"/>
  <c r="K49" i="5"/>
  <c r="R49" i="5" s="1"/>
  <c r="G49" i="5"/>
  <c r="D49" i="5"/>
  <c r="E49" i="5" s="1"/>
  <c r="J49" i="5" s="1"/>
  <c r="R48" i="5"/>
  <c r="Q48" i="5"/>
  <c r="K48" i="5"/>
  <c r="G48" i="5"/>
  <c r="D48" i="5"/>
  <c r="E48" i="5" s="1"/>
  <c r="J48" i="5" s="1"/>
  <c r="Q47" i="5"/>
  <c r="K47" i="5"/>
  <c r="R47" i="5" s="1"/>
  <c r="G47" i="5"/>
  <c r="D47" i="5"/>
  <c r="E47" i="5" s="1"/>
  <c r="J47" i="5" s="1"/>
  <c r="R46" i="5"/>
  <c r="Q46" i="5"/>
  <c r="M46" i="5"/>
  <c r="K46" i="5"/>
  <c r="G46" i="5"/>
  <c r="D46" i="5"/>
  <c r="E46" i="5" s="1"/>
  <c r="J46" i="5" s="1"/>
  <c r="R45" i="5"/>
  <c r="Q45" i="5"/>
  <c r="M45" i="5"/>
  <c r="K45" i="5"/>
  <c r="G45" i="5"/>
  <c r="D45" i="5"/>
  <c r="E45" i="5" s="1"/>
  <c r="Q44" i="5"/>
  <c r="K44" i="5"/>
  <c r="R44" i="5" s="1"/>
  <c r="G44" i="5"/>
  <c r="D44" i="5"/>
  <c r="E44" i="5" s="1"/>
  <c r="J44" i="5" s="1"/>
  <c r="Q43" i="5"/>
  <c r="M43" i="5"/>
  <c r="K43" i="5"/>
  <c r="R43" i="5" s="1"/>
  <c r="G43" i="5"/>
  <c r="D43" i="5"/>
  <c r="E43" i="5" s="1"/>
  <c r="Q42" i="5"/>
  <c r="K42" i="5"/>
  <c r="G42" i="5"/>
  <c r="D42" i="5"/>
  <c r="E42" i="5" s="1"/>
  <c r="J42" i="5" s="1"/>
  <c r="Q41" i="5"/>
  <c r="K41" i="5"/>
  <c r="R41" i="5" s="1"/>
  <c r="G41" i="5"/>
  <c r="D41" i="5"/>
  <c r="E41" i="5" s="1"/>
  <c r="J41" i="5" s="1"/>
  <c r="R40" i="5"/>
  <c r="Q40" i="5"/>
  <c r="K40" i="5"/>
  <c r="G40" i="5"/>
  <c r="D40" i="5"/>
  <c r="E40" i="5" s="1"/>
  <c r="J40" i="5" s="1"/>
  <c r="Q39" i="5"/>
  <c r="K39" i="5"/>
  <c r="M39" i="5" s="1"/>
  <c r="G39" i="5"/>
  <c r="D39" i="5"/>
  <c r="E39" i="5" s="1"/>
  <c r="J39" i="5" s="1"/>
  <c r="R38" i="5"/>
  <c r="Q38" i="5"/>
  <c r="M38" i="5"/>
  <c r="K38" i="5"/>
  <c r="G38" i="5"/>
  <c r="D38" i="5"/>
  <c r="E38" i="5" s="1"/>
  <c r="J38" i="5" s="1"/>
  <c r="R37" i="5"/>
  <c r="Q37" i="5"/>
  <c r="M37" i="5"/>
  <c r="K37" i="5"/>
  <c r="G37" i="5"/>
  <c r="D37" i="5"/>
  <c r="E37" i="5" s="1"/>
  <c r="Q36" i="5"/>
  <c r="K36" i="5"/>
  <c r="R36" i="5" s="1"/>
  <c r="G36" i="5"/>
  <c r="D36" i="5"/>
  <c r="E36" i="5" s="1"/>
  <c r="J36" i="5" s="1"/>
  <c r="Q35" i="5"/>
  <c r="M35" i="5"/>
  <c r="K35" i="5"/>
  <c r="R35" i="5" s="1"/>
  <c r="G35" i="5"/>
  <c r="D35" i="5"/>
  <c r="E35" i="5" s="1"/>
  <c r="Q34" i="5"/>
  <c r="K34" i="5"/>
  <c r="L34" i="5" s="1"/>
  <c r="G34" i="5"/>
  <c r="D34" i="5"/>
  <c r="E34" i="5" s="1"/>
  <c r="J34" i="5" s="1"/>
  <c r="Q33" i="5"/>
  <c r="K33" i="5"/>
  <c r="R33" i="5" s="1"/>
  <c r="G33" i="5"/>
  <c r="D33" i="5"/>
  <c r="E33" i="5" s="1"/>
  <c r="J33" i="5" s="1"/>
  <c r="R32" i="5"/>
  <c r="Q32" i="5"/>
  <c r="K32" i="5"/>
  <c r="G32" i="5"/>
  <c r="D32" i="5"/>
  <c r="E32" i="5" s="1"/>
  <c r="J32" i="5" s="1"/>
  <c r="Q31" i="5"/>
  <c r="K31" i="5"/>
  <c r="M31" i="5" s="1"/>
  <c r="G31" i="5"/>
  <c r="D31" i="5"/>
  <c r="E31" i="5" s="1"/>
  <c r="J31" i="5" s="1"/>
  <c r="R30" i="5"/>
  <c r="Q30" i="5"/>
  <c r="M30" i="5"/>
  <c r="K30" i="5"/>
  <c r="G30" i="5"/>
  <c r="D30" i="5"/>
  <c r="E30" i="5" s="1"/>
  <c r="J30" i="5" s="1"/>
  <c r="R29" i="5"/>
  <c r="Q29" i="5"/>
  <c r="M29" i="5"/>
  <c r="K29" i="5"/>
  <c r="G29" i="5"/>
  <c r="D29" i="5"/>
  <c r="E29" i="5" s="1"/>
  <c r="Q28" i="5"/>
  <c r="K28" i="5"/>
  <c r="R28" i="5" s="1"/>
  <c r="G28" i="5"/>
  <c r="D28" i="5"/>
  <c r="E28" i="5" s="1"/>
  <c r="J28" i="5" s="1"/>
  <c r="Q27" i="5"/>
  <c r="M27" i="5"/>
  <c r="K27" i="5"/>
  <c r="R27" i="5" s="1"/>
  <c r="G27" i="5"/>
  <c r="D27" i="5"/>
  <c r="E27" i="5" s="1"/>
  <c r="Q26" i="5"/>
  <c r="K26" i="5"/>
  <c r="G26" i="5"/>
  <c r="D26" i="5"/>
  <c r="E26" i="5" s="1"/>
  <c r="J26" i="5" s="1"/>
  <c r="Q25" i="5"/>
  <c r="K25" i="5"/>
  <c r="R25" i="5" s="1"/>
  <c r="G25" i="5"/>
  <c r="D25" i="5"/>
  <c r="E25" i="5" s="1"/>
  <c r="J25" i="5" s="1"/>
  <c r="R24" i="5"/>
  <c r="Q24" i="5"/>
  <c r="K24" i="5"/>
  <c r="N24" i="5" s="1"/>
  <c r="G24" i="5"/>
  <c r="D24" i="5"/>
  <c r="E24" i="5" s="1"/>
  <c r="J24" i="5" s="1"/>
  <c r="Q23" i="5"/>
  <c r="K23" i="5"/>
  <c r="M23" i="5" s="1"/>
  <c r="G23" i="5"/>
  <c r="D23" i="5"/>
  <c r="E23" i="5" s="1"/>
  <c r="J23" i="5" s="1"/>
  <c r="R22" i="5"/>
  <c r="Q22" i="5"/>
  <c r="M22" i="5"/>
  <c r="K22" i="5"/>
  <c r="G22" i="5"/>
  <c r="D22" i="5"/>
  <c r="E22" i="5" s="1"/>
  <c r="J22" i="5" s="1"/>
  <c r="R21" i="5"/>
  <c r="Q21" i="5"/>
  <c r="M21" i="5"/>
  <c r="K21" i="5"/>
  <c r="L21" i="5" s="1"/>
  <c r="G21" i="5"/>
  <c r="D21" i="5"/>
  <c r="E21" i="5" s="1"/>
  <c r="Q20" i="5"/>
  <c r="K20" i="5"/>
  <c r="R20" i="5" s="1"/>
  <c r="G20" i="5"/>
  <c r="D20" i="5"/>
  <c r="E20" i="5" s="1"/>
  <c r="J20" i="5" s="1"/>
  <c r="Q19" i="5"/>
  <c r="K19" i="5"/>
  <c r="R19" i="5" s="1"/>
  <c r="G19" i="5"/>
  <c r="D19" i="5"/>
  <c r="E19" i="5" s="1"/>
  <c r="Q18" i="5"/>
  <c r="K18" i="5"/>
  <c r="E10" i="5" s="1"/>
  <c r="G18" i="5"/>
  <c r="D18" i="5"/>
  <c r="E18" i="5" s="1"/>
  <c r="J18" i="5" s="1"/>
  <c r="Q17" i="5"/>
  <c r="K17" i="5"/>
  <c r="R17" i="5" s="1"/>
  <c r="G17" i="5"/>
  <c r="D17" i="5"/>
  <c r="E17" i="5" s="1"/>
  <c r="J17" i="5" s="1"/>
  <c r="Q16" i="5"/>
  <c r="K16" i="5"/>
  <c r="R16" i="5" s="1"/>
  <c r="G16" i="5"/>
  <c r="D16" i="5"/>
  <c r="E16" i="5" s="1"/>
  <c r="J16" i="5" s="1"/>
  <c r="Q15" i="5"/>
  <c r="K15" i="5"/>
  <c r="R15" i="5" s="1"/>
  <c r="G15" i="5"/>
  <c r="D15" i="5"/>
  <c r="E15" i="5" s="1"/>
  <c r="J15" i="5" s="1"/>
  <c r="E9" i="5"/>
  <c r="B8" i="5"/>
  <c r="H8" i="5" s="1"/>
  <c r="H7" i="5"/>
  <c r="E7" i="5"/>
  <c r="Q64" i="4"/>
  <c r="K64" i="4"/>
  <c r="R64" i="4" s="1"/>
  <c r="G64" i="4"/>
  <c r="E64" i="4"/>
  <c r="J64" i="4" s="1"/>
  <c r="D64" i="4"/>
  <c r="Q63" i="4"/>
  <c r="K63" i="4"/>
  <c r="G63" i="4"/>
  <c r="D63" i="4"/>
  <c r="E63" i="4" s="1"/>
  <c r="J63" i="4" s="1"/>
  <c r="R62" i="4"/>
  <c r="Q62" i="4"/>
  <c r="M62" i="4"/>
  <c r="K62" i="4"/>
  <c r="G62" i="4"/>
  <c r="D62" i="4"/>
  <c r="E62" i="4" s="1"/>
  <c r="R61" i="4"/>
  <c r="Q61" i="4"/>
  <c r="K61" i="4"/>
  <c r="G61" i="4"/>
  <c r="D61" i="4"/>
  <c r="E61" i="4" s="1"/>
  <c r="J61" i="4" s="1"/>
  <c r="Q60" i="4"/>
  <c r="K60" i="4"/>
  <c r="R60" i="4" s="1"/>
  <c r="G60" i="4"/>
  <c r="D60" i="4"/>
  <c r="E60" i="4" s="1"/>
  <c r="J60" i="4" s="1"/>
  <c r="Q59" i="4"/>
  <c r="K59" i="4"/>
  <c r="M59" i="4" s="1"/>
  <c r="G59" i="4"/>
  <c r="D59" i="4"/>
  <c r="E59" i="4" s="1"/>
  <c r="J59" i="4" s="1"/>
  <c r="R58" i="4"/>
  <c r="Q58" i="4"/>
  <c r="M58" i="4"/>
  <c r="K58" i="4"/>
  <c r="L58" i="4" s="1"/>
  <c r="G58" i="4"/>
  <c r="D58" i="4"/>
  <c r="E58" i="4" s="1"/>
  <c r="R57" i="4"/>
  <c r="Q57" i="4"/>
  <c r="K57" i="4"/>
  <c r="M57" i="4" s="1"/>
  <c r="G57" i="4"/>
  <c r="D57" i="4"/>
  <c r="E57" i="4" s="1"/>
  <c r="Q56" i="4"/>
  <c r="K56" i="4"/>
  <c r="R56" i="4" s="1"/>
  <c r="G56" i="4"/>
  <c r="E56" i="4"/>
  <c r="J56" i="4" s="1"/>
  <c r="D56" i="4"/>
  <c r="Q55" i="4"/>
  <c r="K55" i="4"/>
  <c r="G55" i="4"/>
  <c r="D55" i="4"/>
  <c r="E55" i="4" s="1"/>
  <c r="J55" i="4" s="1"/>
  <c r="R54" i="4"/>
  <c r="Q54" i="4"/>
  <c r="M54" i="4"/>
  <c r="K54" i="4"/>
  <c r="G54" i="4"/>
  <c r="D54" i="4"/>
  <c r="E54" i="4" s="1"/>
  <c r="R53" i="4"/>
  <c r="Q53" i="4"/>
  <c r="K53" i="4"/>
  <c r="G53" i="4"/>
  <c r="D53" i="4"/>
  <c r="E53" i="4" s="1"/>
  <c r="J53" i="4" s="1"/>
  <c r="Q52" i="4"/>
  <c r="K52" i="4"/>
  <c r="R52" i="4" s="1"/>
  <c r="G52" i="4"/>
  <c r="D52" i="4"/>
  <c r="E52" i="4" s="1"/>
  <c r="J52" i="4" s="1"/>
  <c r="Q51" i="4"/>
  <c r="K51" i="4"/>
  <c r="M51" i="4" s="1"/>
  <c r="G51" i="4"/>
  <c r="D51" i="4"/>
  <c r="E51" i="4" s="1"/>
  <c r="J51" i="4" s="1"/>
  <c r="R50" i="4"/>
  <c r="Q50" i="4"/>
  <c r="M50" i="4"/>
  <c r="K50" i="4"/>
  <c r="G50" i="4"/>
  <c r="D50" i="4"/>
  <c r="E50" i="4" s="1"/>
  <c r="Q49" i="4"/>
  <c r="K49" i="4"/>
  <c r="R49" i="4" s="1"/>
  <c r="G49" i="4"/>
  <c r="D49" i="4"/>
  <c r="E49" i="4" s="1"/>
  <c r="Q48" i="4"/>
  <c r="K48" i="4"/>
  <c r="R48" i="4" s="1"/>
  <c r="G48" i="4"/>
  <c r="E48" i="4"/>
  <c r="J48" i="4" s="1"/>
  <c r="D48" i="4"/>
  <c r="Q47" i="4"/>
  <c r="K47" i="4"/>
  <c r="G47" i="4"/>
  <c r="D47" i="4"/>
  <c r="E47" i="4" s="1"/>
  <c r="J47" i="4" s="1"/>
  <c r="R46" i="4"/>
  <c r="Q46" i="4"/>
  <c r="M46" i="4"/>
  <c r="K46" i="4"/>
  <c r="G46" i="4"/>
  <c r="D46" i="4"/>
  <c r="E46" i="4" s="1"/>
  <c r="R45" i="4"/>
  <c r="Q45" i="4"/>
  <c r="K45" i="4"/>
  <c r="N45" i="4" s="1"/>
  <c r="G45" i="4"/>
  <c r="D45" i="4"/>
  <c r="E45" i="4" s="1"/>
  <c r="J45" i="4" s="1"/>
  <c r="Q44" i="4"/>
  <c r="K44" i="4"/>
  <c r="R44" i="4" s="1"/>
  <c r="G44" i="4"/>
  <c r="D44" i="4"/>
  <c r="E44" i="4" s="1"/>
  <c r="J44" i="4" s="1"/>
  <c r="Q43" i="4"/>
  <c r="K43" i="4"/>
  <c r="G43" i="4"/>
  <c r="D43" i="4"/>
  <c r="E43" i="4" s="1"/>
  <c r="J43" i="4" s="1"/>
  <c r="R42" i="4"/>
  <c r="Q42" i="4"/>
  <c r="M42" i="4"/>
  <c r="K42" i="4"/>
  <c r="G42" i="4"/>
  <c r="D42" i="4"/>
  <c r="E42" i="4" s="1"/>
  <c r="Q41" i="4"/>
  <c r="K41" i="4"/>
  <c r="R41" i="4" s="1"/>
  <c r="G41" i="4"/>
  <c r="D41" i="4"/>
  <c r="E41" i="4" s="1"/>
  <c r="Q40" i="4"/>
  <c r="K40" i="4"/>
  <c r="R40" i="4" s="1"/>
  <c r="G40" i="4"/>
  <c r="E40" i="4"/>
  <c r="J40" i="4" s="1"/>
  <c r="D40" i="4"/>
  <c r="Q39" i="4"/>
  <c r="K39" i="4"/>
  <c r="G39" i="4"/>
  <c r="D39" i="4"/>
  <c r="E39" i="4" s="1"/>
  <c r="J39" i="4" s="1"/>
  <c r="R38" i="4"/>
  <c r="Q38" i="4"/>
  <c r="M38" i="4"/>
  <c r="K38" i="4"/>
  <c r="G38" i="4"/>
  <c r="D38" i="4"/>
  <c r="E38" i="4" s="1"/>
  <c r="R37" i="4"/>
  <c r="Q37" i="4"/>
  <c r="K37" i="4"/>
  <c r="G37" i="4"/>
  <c r="D37" i="4"/>
  <c r="E37" i="4" s="1"/>
  <c r="J37" i="4" s="1"/>
  <c r="Q36" i="4"/>
  <c r="K36" i="4"/>
  <c r="R36" i="4" s="1"/>
  <c r="G36" i="4"/>
  <c r="D36" i="4"/>
  <c r="E36" i="4" s="1"/>
  <c r="J36" i="4" s="1"/>
  <c r="Q35" i="4"/>
  <c r="K35" i="4"/>
  <c r="G35" i="4"/>
  <c r="D35" i="4"/>
  <c r="E35" i="4" s="1"/>
  <c r="J35" i="4" s="1"/>
  <c r="R34" i="4"/>
  <c r="Q34" i="4"/>
  <c r="M34" i="4"/>
  <c r="K34" i="4"/>
  <c r="G34" i="4"/>
  <c r="D34" i="4"/>
  <c r="E34" i="4" s="1"/>
  <c r="Q33" i="4"/>
  <c r="K33" i="4"/>
  <c r="R33" i="4" s="1"/>
  <c r="G33" i="4"/>
  <c r="D33" i="4"/>
  <c r="E33" i="4" s="1"/>
  <c r="Q32" i="4"/>
  <c r="K32" i="4"/>
  <c r="R32" i="4" s="1"/>
  <c r="G32" i="4"/>
  <c r="E32" i="4"/>
  <c r="J32" i="4" s="1"/>
  <c r="D32" i="4"/>
  <c r="Q31" i="4"/>
  <c r="K31" i="4"/>
  <c r="G31" i="4"/>
  <c r="D31" i="4"/>
  <c r="E31" i="4" s="1"/>
  <c r="J31" i="4" s="1"/>
  <c r="R30" i="4"/>
  <c r="Q30" i="4"/>
  <c r="M30" i="4"/>
  <c r="K30" i="4"/>
  <c r="G30" i="4"/>
  <c r="D30" i="4"/>
  <c r="E30" i="4" s="1"/>
  <c r="R29" i="4"/>
  <c r="Q29" i="4"/>
  <c r="K29" i="4"/>
  <c r="G29" i="4"/>
  <c r="D29" i="4"/>
  <c r="E29" i="4" s="1"/>
  <c r="J29" i="4" s="1"/>
  <c r="Q28" i="4"/>
  <c r="K28" i="4"/>
  <c r="R28" i="4" s="1"/>
  <c r="G28" i="4"/>
  <c r="D28" i="4"/>
  <c r="E28" i="4" s="1"/>
  <c r="J28" i="4" s="1"/>
  <c r="Q27" i="4"/>
  <c r="K27" i="4"/>
  <c r="M27" i="4" s="1"/>
  <c r="G27" i="4"/>
  <c r="D27" i="4"/>
  <c r="E27" i="4" s="1"/>
  <c r="J27" i="4" s="1"/>
  <c r="R26" i="4"/>
  <c r="Q26" i="4"/>
  <c r="M26" i="4"/>
  <c r="K26" i="4"/>
  <c r="G26" i="4"/>
  <c r="D26" i="4"/>
  <c r="E26" i="4" s="1"/>
  <c r="J26" i="4" s="1"/>
  <c r="Q25" i="4"/>
  <c r="K25" i="4"/>
  <c r="R25" i="4" s="1"/>
  <c r="G25" i="4"/>
  <c r="D25" i="4"/>
  <c r="E25" i="4" s="1"/>
  <c r="Q24" i="4"/>
  <c r="K24" i="4"/>
  <c r="R24" i="4" s="1"/>
  <c r="G24" i="4"/>
  <c r="E24" i="4"/>
  <c r="J24" i="4" s="1"/>
  <c r="D24" i="4"/>
  <c r="Q23" i="4"/>
  <c r="K23" i="4"/>
  <c r="G23" i="4"/>
  <c r="D23" i="4"/>
  <c r="E23" i="4" s="1"/>
  <c r="J23" i="4" s="1"/>
  <c r="R22" i="4"/>
  <c r="Q22" i="4"/>
  <c r="M22" i="4"/>
  <c r="K22" i="4"/>
  <c r="G22" i="4"/>
  <c r="D22" i="4"/>
  <c r="E22" i="4" s="1"/>
  <c r="R21" i="4"/>
  <c r="Q21" i="4"/>
  <c r="K21" i="4"/>
  <c r="G21" i="4"/>
  <c r="D21" i="4"/>
  <c r="E21" i="4" s="1"/>
  <c r="J21" i="4" s="1"/>
  <c r="Q20" i="4"/>
  <c r="K20" i="4"/>
  <c r="R20" i="4" s="1"/>
  <c r="G20" i="4"/>
  <c r="D20" i="4"/>
  <c r="E20" i="4" s="1"/>
  <c r="J20" i="4" s="1"/>
  <c r="Q19" i="4"/>
  <c r="K19" i="4"/>
  <c r="G19" i="4"/>
  <c r="D19" i="4"/>
  <c r="E19" i="4" s="1"/>
  <c r="J19" i="4" s="1"/>
  <c r="R18" i="4"/>
  <c r="Q18" i="4"/>
  <c r="M18" i="4"/>
  <c r="K18" i="4"/>
  <c r="G18" i="4"/>
  <c r="D18" i="4"/>
  <c r="E18" i="4" s="1"/>
  <c r="J18" i="4" s="1"/>
  <c r="Q17" i="4"/>
  <c r="K17" i="4"/>
  <c r="R17" i="4" s="1"/>
  <c r="G17" i="4"/>
  <c r="D17" i="4"/>
  <c r="E17" i="4" s="1"/>
  <c r="Q16" i="4"/>
  <c r="K16" i="4"/>
  <c r="R16" i="4" s="1"/>
  <c r="G16" i="4"/>
  <c r="E16" i="4"/>
  <c r="J16" i="4" s="1"/>
  <c r="D16" i="4"/>
  <c r="Q15" i="4"/>
  <c r="K15" i="4"/>
  <c r="G15" i="4"/>
  <c r="D15" i="4"/>
  <c r="E15" i="4" s="1"/>
  <c r="J15" i="4" s="1"/>
  <c r="E10" i="4"/>
  <c r="E9" i="4"/>
  <c r="E8" i="4"/>
  <c r="B8" i="4"/>
  <c r="H8" i="4" s="1"/>
  <c r="E7" i="4"/>
  <c r="H5" i="4"/>
  <c r="H6" i="4" s="1"/>
  <c r="D15" i="3"/>
  <c r="E15" i="3" s="1"/>
  <c r="G15" i="3"/>
  <c r="K15" i="3"/>
  <c r="M15" i="3" s="1"/>
  <c r="D16" i="3"/>
  <c r="E16" i="3" s="1"/>
  <c r="G16" i="3"/>
  <c r="K16" i="3"/>
  <c r="E8" i="3" s="1"/>
  <c r="D17" i="3"/>
  <c r="E17" i="3" s="1"/>
  <c r="G17" i="3"/>
  <c r="K17" i="3"/>
  <c r="R17" i="3" s="1"/>
  <c r="D18" i="3"/>
  <c r="E18" i="3" s="1"/>
  <c r="G18" i="3"/>
  <c r="K18" i="3"/>
  <c r="M18" i="3" s="1"/>
  <c r="D19" i="3"/>
  <c r="E19" i="3" s="1"/>
  <c r="G19" i="3"/>
  <c r="K19" i="3"/>
  <c r="R19" i="3" s="1"/>
  <c r="Q64" i="3"/>
  <c r="K64" i="3"/>
  <c r="R64" i="3" s="1"/>
  <c r="G64" i="3"/>
  <c r="D64" i="3"/>
  <c r="E64" i="3" s="1"/>
  <c r="J64" i="3" s="1"/>
  <c r="Q63" i="3"/>
  <c r="K63" i="3"/>
  <c r="R63" i="3" s="1"/>
  <c r="G63" i="3"/>
  <c r="D63" i="3"/>
  <c r="E63" i="3" s="1"/>
  <c r="J63" i="3" s="1"/>
  <c r="Q62" i="3"/>
  <c r="K62" i="3"/>
  <c r="R62" i="3" s="1"/>
  <c r="G62" i="3"/>
  <c r="D62" i="3"/>
  <c r="E62" i="3" s="1"/>
  <c r="J62" i="3" s="1"/>
  <c r="Q61" i="3"/>
  <c r="K61" i="3"/>
  <c r="G61" i="3"/>
  <c r="D61" i="3"/>
  <c r="E61" i="3" s="1"/>
  <c r="J61" i="3" s="1"/>
  <c r="Q60" i="3"/>
  <c r="K60" i="3"/>
  <c r="R60" i="3" s="1"/>
  <c r="G60" i="3"/>
  <c r="D60" i="3"/>
  <c r="E60" i="3" s="1"/>
  <c r="J60" i="3" s="1"/>
  <c r="Q59" i="3"/>
  <c r="K59" i="3"/>
  <c r="M59" i="3" s="1"/>
  <c r="G59" i="3"/>
  <c r="D59" i="3"/>
  <c r="E59" i="3" s="1"/>
  <c r="J59" i="3" s="1"/>
  <c r="Q58" i="3"/>
  <c r="K58" i="3"/>
  <c r="G58" i="3"/>
  <c r="D58" i="3"/>
  <c r="E58" i="3" s="1"/>
  <c r="J58" i="3" s="1"/>
  <c r="Q57" i="3"/>
  <c r="M57" i="3"/>
  <c r="K57" i="3"/>
  <c r="R57" i="3" s="1"/>
  <c r="G57" i="3"/>
  <c r="D57" i="3"/>
  <c r="E57" i="3" s="1"/>
  <c r="J57" i="3" s="1"/>
  <c r="Q56" i="3"/>
  <c r="K56" i="3"/>
  <c r="R56" i="3" s="1"/>
  <c r="G56" i="3"/>
  <c r="D56" i="3"/>
  <c r="E56" i="3" s="1"/>
  <c r="J56" i="3" s="1"/>
  <c r="Q55" i="3"/>
  <c r="M55" i="3"/>
  <c r="K55" i="3"/>
  <c r="R55" i="3" s="1"/>
  <c r="G55" i="3"/>
  <c r="D55" i="3"/>
  <c r="E55" i="3" s="1"/>
  <c r="J55" i="3" s="1"/>
  <c r="Q54" i="3"/>
  <c r="M54" i="3"/>
  <c r="K54" i="3"/>
  <c r="R54" i="3" s="1"/>
  <c r="G54" i="3"/>
  <c r="D54" i="3"/>
  <c r="E54" i="3" s="1"/>
  <c r="J54" i="3" s="1"/>
  <c r="Q53" i="3"/>
  <c r="K53" i="3"/>
  <c r="G53" i="3"/>
  <c r="D53" i="3"/>
  <c r="E53" i="3" s="1"/>
  <c r="J53" i="3" s="1"/>
  <c r="Q52" i="3"/>
  <c r="K52" i="3"/>
  <c r="R52" i="3" s="1"/>
  <c r="G52" i="3"/>
  <c r="D52" i="3"/>
  <c r="E52" i="3" s="1"/>
  <c r="J52" i="3" s="1"/>
  <c r="Q51" i="3"/>
  <c r="K51" i="3"/>
  <c r="M51" i="3" s="1"/>
  <c r="G51" i="3"/>
  <c r="D51" i="3"/>
  <c r="E51" i="3" s="1"/>
  <c r="J51" i="3" s="1"/>
  <c r="Q50" i="3"/>
  <c r="M50" i="3"/>
  <c r="K50" i="3"/>
  <c r="G50" i="3"/>
  <c r="D50" i="3"/>
  <c r="E50" i="3" s="1"/>
  <c r="J50" i="3" s="1"/>
  <c r="Q49" i="3"/>
  <c r="M49" i="3"/>
  <c r="K49" i="3"/>
  <c r="R49" i="3" s="1"/>
  <c r="G49" i="3"/>
  <c r="D49" i="3"/>
  <c r="E49" i="3" s="1"/>
  <c r="J49" i="3" s="1"/>
  <c r="Q48" i="3"/>
  <c r="K48" i="3"/>
  <c r="R48" i="3" s="1"/>
  <c r="G48" i="3"/>
  <c r="D48" i="3"/>
  <c r="E48" i="3" s="1"/>
  <c r="J48" i="3" s="1"/>
  <c r="Q47" i="3"/>
  <c r="M47" i="3"/>
  <c r="K47" i="3"/>
  <c r="R47" i="3" s="1"/>
  <c r="G47" i="3"/>
  <c r="D47" i="3"/>
  <c r="E47" i="3" s="1"/>
  <c r="J47" i="3" s="1"/>
  <c r="Q46" i="3"/>
  <c r="M46" i="3"/>
  <c r="K46" i="3"/>
  <c r="R46" i="3" s="1"/>
  <c r="G46" i="3"/>
  <c r="D46" i="3"/>
  <c r="E46" i="3" s="1"/>
  <c r="J46" i="3" s="1"/>
  <c r="Q45" i="3"/>
  <c r="K45" i="3"/>
  <c r="G45" i="3"/>
  <c r="D45" i="3"/>
  <c r="E45" i="3" s="1"/>
  <c r="J45" i="3" s="1"/>
  <c r="Q44" i="3"/>
  <c r="K44" i="3"/>
  <c r="R44" i="3" s="1"/>
  <c r="G44" i="3"/>
  <c r="D44" i="3"/>
  <c r="E44" i="3" s="1"/>
  <c r="J44" i="3" s="1"/>
  <c r="Q43" i="3"/>
  <c r="K43" i="3"/>
  <c r="R43" i="3" s="1"/>
  <c r="G43" i="3"/>
  <c r="D43" i="3"/>
  <c r="E43" i="3" s="1"/>
  <c r="J43" i="3" s="1"/>
  <c r="Q42" i="3"/>
  <c r="M42" i="3"/>
  <c r="K42" i="3"/>
  <c r="G42" i="3"/>
  <c r="D42" i="3"/>
  <c r="E42" i="3" s="1"/>
  <c r="J42" i="3" s="1"/>
  <c r="Q41" i="3"/>
  <c r="M41" i="3"/>
  <c r="K41" i="3"/>
  <c r="R41" i="3" s="1"/>
  <c r="G41" i="3"/>
  <c r="D41" i="3"/>
  <c r="E41" i="3" s="1"/>
  <c r="J41" i="3" s="1"/>
  <c r="Q40" i="3"/>
  <c r="K40" i="3"/>
  <c r="R40" i="3" s="1"/>
  <c r="G40" i="3"/>
  <c r="D40" i="3"/>
  <c r="E40" i="3" s="1"/>
  <c r="J40" i="3" s="1"/>
  <c r="Q39" i="3"/>
  <c r="M39" i="3"/>
  <c r="K39" i="3"/>
  <c r="R39" i="3" s="1"/>
  <c r="G39" i="3"/>
  <c r="D39" i="3"/>
  <c r="E39" i="3" s="1"/>
  <c r="J39" i="3" s="1"/>
  <c r="Q38" i="3"/>
  <c r="M38" i="3"/>
  <c r="K38" i="3"/>
  <c r="R38" i="3" s="1"/>
  <c r="G38" i="3"/>
  <c r="D38" i="3"/>
  <c r="E38" i="3" s="1"/>
  <c r="J38" i="3" s="1"/>
  <c r="Q37" i="3"/>
  <c r="K37" i="3"/>
  <c r="G37" i="3"/>
  <c r="D37" i="3"/>
  <c r="E37" i="3" s="1"/>
  <c r="J37" i="3" s="1"/>
  <c r="Q36" i="3"/>
  <c r="K36" i="3"/>
  <c r="R36" i="3" s="1"/>
  <c r="G36" i="3"/>
  <c r="D36" i="3"/>
  <c r="E36" i="3" s="1"/>
  <c r="J36" i="3" s="1"/>
  <c r="Q35" i="3"/>
  <c r="K35" i="3"/>
  <c r="M35" i="3" s="1"/>
  <c r="G35" i="3"/>
  <c r="D35" i="3"/>
  <c r="E35" i="3" s="1"/>
  <c r="J35" i="3" s="1"/>
  <c r="Q34" i="3"/>
  <c r="M34" i="3"/>
  <c r="K34" i="3"/>
  <c r="G34" i="3"/>
  <c r="D34" i="3"/>
  <c r="E34" i="3" s="1"/>
  <c r="J34" i="3" s="1"/>
  <c r="Q33" i="3"/>
  <c r="M33" i="3"/>
  <c r="K33" i="3"/>
  <c r="R33" i="3" s="1"/>
  <c r="G33" i="3"/>
  <c r="D33" i="3"/>
  <c r="E33" i="3" s="1"/>
  <c r="J33" i="3" s="1"/>
  <c r="Q32" i="3"/>
  <c r="K32" i="3"/>
  <c r="R32" i="3" s="1"/>
  <c r="G32" i="3"/>
  <c r="D32" i="3"/>
  <c r="E32" i="3" s="1"/>
  <c r="J32" i="3" s="1"/>
  <c r="Q31" i="3"/>
  <c r="M31" i="3"/>
  <c r="K31" i="3"/>
  <c r="R31" i="3" s="1"/>
  <c r="G31" i="3"/>
  <c r="D31" i="3"/>
  <c r="E31" i="3" s="1"/>
  <c r="J31" i="3" s="1"/>
  <c r="Q30" i="3"/>
  <c r="M30" i="3"/>
  <c r="K30" i="3"/>
  <c r="R30" i="3" s="1"/>
  <c r="G30" i="3"/>
  <c r="D30" i="3"/>
  <c r="E30" i="3" s="1"/>
  <c r="J30" i="3" s="1"/>
  <c r="Q29" i="3"/>
  <c r="K29" i="3"/>
  <c r="G29" i="3"/>
  <c r="D29" i="3"/>
  <c r="E29" i="3" s="1"/>
  <c r="J29" i="3" s="1"/>
  <c r="Q28" i="3"/>
  <c r="K28" i="3"/>
  <c r="R28" i="3" s="1"/>
  <c r="G28" i="3"/>
  <c r="D28" i="3"/>
  <c r="E28" i="3" s="1"/>
  <c r="J28" i="3" s="1"/>
  <c r="Q27" i="3"/>
  <c r="K27" i="3"/>
  <c r="M27" i="3" s="1"/>
  <c r="G27" i="3"/>
  <c r="D27" i="3"/>
  <c r="E27" i="3" s="1"/>
  <c r="J27" i="3" s="1"/>
  <c r="Q26" i="3"/>
  <c r="M26" i="3"/>
  <c r="K26" i="3"/>
  <c r="G26" i="3"/>
  <c r="D26" i="3"/>
  <c r="E26" i="3" s="1"/>
  <c r="J26" i="3" s="1"/>
  <c r="Q25" i="3"/>
  <c r="M25" i="3"/>
  <c r="K25" i="3"/>
  <c r="R25" i="3" s="1"/>
  <c r="G25" i="3"/>
  <c r="D25" i="3"/>
  <c r="E25" i="3" s="1"/>
  <c r="J25" i="3" s="1"/>
  <c r="Q24" i="3"/>
  <c r="K24" i="3"/>
  <c r="R24" i="3" s="1"/>
  <c r="G24" i="3"/>
  <c r="D24" i="3"/>
  <c r="E24" i="3" s="1"/>
  <c r="J24" i="3" s="1"/>
  <c r="Q23" i="3"/>
  <c r="M23" i="3"/>
  <c r="K23" i="3"/>
  <c r="R23" i="3" s="1"/>
  <c r="G23" i="3"/>
  <c r="D23" i="3"/>
  <c r="E23" i="3" s="1"/>
  <c r="J23" i="3" s="1"/>
  <c r="Q22" i="3"/>
  <c r="K22" i="3"/>
  <c r="M22" i="3" s="1"/>
  <c r="G22" i="3"/>
  <c r="D22" i="3"/>
  <c r="E22" i="3" s="1"/>
  <c r="J22" i="3" s="1"/>
  <c r="Q21" i="3"/>
  <c r="K21" i="3"/>
  <c r="G21" i="3"/>
  <c r="D21" i="3"/>
  <c r="E21" i="3" s="1"/>
  <c r="J21" i="3" s="1"/>
  <c r="Q20" i="3"/>
  <c r="K20" i="3"/>
  <c r="R20" i="3" s="1"/>
  <c r="G20" i="3"/>
  <c r="D20" i="3"/>
  <c r="E20" i="3" s="1"/>
  <c r="J20" i="3" s="1"/>
  <c r="Q19" i="3"/>
  <c r="Q18" i="3"/>
  <c r="Q17" i="3"/>
  <c r="Q16" i="3"/>
  <c r="Q15" i="3"/>
  <c r="R15" i="3"/>
  <c r="E10" i="3"/>
  <c r="E9" i="3"/>
  <c r="B8" i="3"/>
  <c r="H8" i="3" s="1"/>
  <c r="H7" i="3"/>
  <c r="E7" i="3"/>
  <c r="Q64" i="1"/>
  <c r="K64" i="1"/>
  <c r="R64" i="1" s="1"/>
  <c r="G64" i="1"/>
  <c r="D64" i="1"/>
  <c r="E64" i="1" s="1"/>
  <c r="J64" i="1" s="1"/>
  <c r="Q63" i="1"/>
  <c r="K63" i="1"/>
  <c r="R63" i="1" s="1"/>
  <c r="G63" i="1"/>
  <c r="D63" i="1"/>
  <c r="E63" i="1" s="1"/>
  <c r="J63" i="1" s="1"/>
  <c r="Q62" i="1"/>
  <c r="K62" i="1"/>
  <c r="R62" i="1" s="1"/>
  <c r="G62" i="1"/>
  <c r="D62" i="1"/>
  <c r="E62" i="1" s="1"/>
  <c r="J62" i="1" s="1"/>
  <c r="Q61" i="1"/>
  <c r="K61" i="1"/>
  <c r="G61" i="1"/>
  <c r="D61" i="1"/>
  <c r="E61" i="1" s="1"/>
  <c r="J61" i="1" s="1"/>
  <c r="Q60" i="1"/>
  <c r="K60" i="1"/>
  <c r="R60" i="1" s="1"/>
  <c r="G60" i="1"/>
  <c r="D60" i="1"/>
  <c r="E60" i="1" s="1"/>
  <c r="J60" i="1" s="1"/>
  <c r="Q59" i="1"/>
  <c r="K59" i="1"/>
  <c r="R59" i="1" s="1"/>
  <c r="G59" i="1"/>
  <c r="D59" i="1"/>
  <c r="E59" i="1" s="1"/>
  <c r="J59" i="1" s="1"/>
  <c r="Q58" i="1"/>
  <c r="K58" i="1"/>
  <c r="G58" i="1"/>
  <c r="D58" i="1"/>
  <c r="E58" i="1" s="1"/>
  <c r="J58" i="1" s="1"/>
  <c r="Q57" i="1"/>
  <c r="K57" i="1"/>
  <c r="R57" i="1" s="1"/>
  <c r="G57" i="1"/>
  <c r="D57" i="1"/>
  <c r="E57" i="1" s="1"/>
  <c r="J57" i="1" s="1"/>
  <c r="Q56" i="1"/>
  <c r="M56" i="1"/>
  <c r="K56" i="1"/>
  <c r="R56" i="1" s="1"/>
  <c r="G56" i="1"/>
  <c r="D56" i="1"/>
  <c r="E56" i="1" s="1"/>
  <c r="J56" i="1" s="1"/>
  <c r="Q55" i="1"/>
  <c r="M55" i="1"/>
  <c r="K55" i="1"/>
  <c r="R55" i="1" s="1"/>
  <c r="G55" i="1"/>
  <c r="D55" i="1"/>
  <c r="E55" i="1" s="1"/>
  <c r="J55" i="1" s="1"/>
  <c r="Q54" i="1"/>
  <c r="K54" i="1"/>
  <c r="R54" i="1" s="1"/>
  <c r="G54" i="1"/>
  <c r="D54" i="1"/>
  <c r="E54" i="1" s="1"/>
  <c r="J54" i="1" s="1"/>
  <c r="Q53" i="1"/>
  <c r="K53" i="1"/>
  <c r="N53" i="1" s="1"/>
  <c r="G53" i="1"/>
  <c r="D53" i="1"/>
  <c r="E53" i="1" s="1"/>
  <c r="J53" i="1" s="1"/>
  <c r="Q52" i="1"/>
  <c r="K52" i="1"/>
  <c r="R52" i="1" s="1"/>
  <c r="G52" i="1"/>
  <c r="D52" i="1"/>
  <c r="E52" i="1" s="1"/>
  <c r="J52" i="1" s="1"/>
  <c r="Q51" i="1"/>
  <c r="K51" i="1"/>
  <c r="R51" i="1" s="1"/>
  <c r="G51" i="1"/>
  <c r="D51" i="1"/>
  <c r="E51" i="1" s="1"/>
  <c r="J51" i="1" s="1"/>
  <c r="Q50" i="1"/>
  <c r="K50" i="1"/>
  <c r="G50" i="1"/>
  <c r="D50" i="1"/>
  <c r="E50" i="1" s="1"/>
  <c r="J50" i="1" s="1"/>
  <c r="Q49" i="1"/>
  <c r="K49" i="1"/>
  <c r="R49" i="1" s="1"/>
  <c r="G49" i="1"/>
  <c r="D49" i="1"/>
  <c r="E49" i="1" s="1"/>
  <c r="J49" i="1" s="1"/>
  <c r="Q48" i="1"/>
  <c r="M48" i="1"/>
  <c r="K48" i="1"/>
  <c r="R48" i="1" s="1"/>
  <c r="G48" i="1"/>
  <c r="D48" i="1"/>
  <c r="E48" i="1" s="1"/>
  <c r="J48" i="1" s="1"/>
  <c r="Q47" i="1"/>
  <c r="M47" i="1"/>
  <c r="K47" i="1"/>
  <c r="R47" i="1" s="1"/>
  <c r="G47" i="1"/>
  <c r="D47" i="1"/>
  <c r="E47" i="1" s="1"/>
  <c r="J47" i="1" s="1"/>
  <c r="Q46" i="1"/>
  <c r="M46" i="1"/>
  <c r="K46" i="1"/>
  <c r="R46" i="1" s="1"/>
  <c r="G46" i="1"/>
  <c r="D46" i="1"/>
  <c r="E46" i="1" s="1"/>
  <c r="J46" i="1" s="1"/>
  <c r="Q45" i="1"/>
  <c r="K45" i="1"/>
  <c r="G45" i="1"/>
  <c r="D45" i="1"/>
  <c r="E45" i="1" s="1"/>
  <c r="J45" i="1" s="1"/>
  <c r="Q44" i="1"/>
  <c r="K44" i="1"/>
  <c r="R44" i="1" s="1"/>
  <c r="G44" i="1"/>
  <c r="D44" i="1"/>
  <c r="E44" i="1" s="1"/>
  <c r="J44" i="1" s="1"/>
  <c r="Q43" i="1"/>
  <c r="K43" i="1"/>
  <c r="R43" i="1" s="1"/>
  <c r="G43" i="1"/>
  <c r="D43" i="1"/>
  <c r="E43" i="1" s="1"/>
  <c r="J43" i="1" s="1"/>
  <c r="Q42" i="1"/>
  <c r="K42" i="1"/>
  <c r="L42" i="1" s="1"/>
  <c r="G42" i="1"/>
  <c r="D42" i="1"/>
  <c r="E42" i="1" s="1"/>
  <c r="J42" i="1" s="1"/>
  <c r="Q41" i="1"/>
  <c r="K41" i="1"/>
  <c r="R41" i="1" s="1"/>
  <c r="G41" i="1"/>
  <c r="D41" i="1"/>
  <c r="E41" i="1" s="1"/>
  <c r="J41" i="1" s="1"/>
  <c r="Q40" i="1"/>
  <c r="M40" i="1"/>
  <c r="K40" i="1"/>
  <c r="R40" i="1" s="1"/>
  <c r="G40" i="1"/>
  <c r="D40" i="1"/>
  <c r="E40" i="1" s="1"/>
  <c r="J40" i="1" s="1"/>
  <c r="Q39" i="1"/>
  <c r="M39" i="1"/>
  <c r="K39" i="1"/>
  <c r="R39" i="1" s="1"/>
  <c r="G39" i="1"/>
  <c r="D39" i="1"/>
  <c r="E39" i="1" s="1"/>
  <c r="J39" i="1" s="1"/>
  <c r="Q38" i="1"/>
  <c r="M38" i="1"/>
  <c r="K38" i="1"/>
  <c r="R38" i="1" s="1"/>
  <c r="G38" i="1"/>
  <c r="D38" i="1"/>
  <c r="E38" i="1" s="1"/>
  <c r="J38" i="1" s="1"/>
  <c r="Q37" i="1"/>
  <c r="K37" i="1"/>
  <c r="G37" i="1"/>
  <c r="D37" i="1"/>
  <c r="E37" i="1" s="1"/>
  <c r="J37" i="1" s="1"/>
  <c r="Q36" i="1"/>
  <c r="K36" i="1"/>
  <c r="R36" i="1" s="1"/>
  <c r="G36" i="1"/>
  <c r="D36" i="1"/>
  <c r="E36" i="1" s="1"/>
  <c r="J36" i="1" s="1"/>
  <c r="Q35" i="1"/>
  <c r="K35" i="1"/>
  <c r="R35" i="1" s="1"/>
  <c r="G35" i="1"/>
  <c r="D35" i="1"/>
  <c r="E35" i="1" s="1"/>
  <c r="J35" i="1" s="1"/>
  <c r="Q34" i="1"/>
  <c r="K34" i="1"/>
  <c r="G34" i="1"/>
  <c r="D34" i="1"/>
  <c r="E34" i="1" s="1"/>
  <c r="J34" i="1" s="1"/>
  <c r="Q33" i="1"/>
  <c r="K33" i="1"/>
  <c r="R33" i="1" s="1"/>
  <c r="G33" i="1"/>
  <c r="D33" i="1"/>
  <c r="E33" i="1" s="1"/>
  <c r="J33" i="1" s="1"/>
  <c r="Q32" i="1"/>
  <c r="M32" i="1"/>
  <c r="K32" i="1"/>
  <c r="R32" i="1" s="1"/>
  <c r="G32" i="1"/>
  <c r="D32" i="1"/>
  <c r="E32" i="1" s="1"/>
  <c r="J32" i="1" s="1"/>
  <c r="Q31" i="1"/>
  <c r="M31" i="1"/>
  <c r="K31" i="1"/>
  <c r="R31" i="1" s="1"/>
  <c r="G31" i="1"/>
  <c r="D31" i="1"/>
  <c r="E31" i="1" s="1"/>
  <c r="J31" i="1" s="1"/>
  <c r="Q30" i="1"/>
  <c r="M30" i="1"/>
  <c r="K30" i="1"/>
  <c r="R30" i="1" s="1"/>
  <c r="G30" i="1"/>
  <c r="D30" i="1"/>
  <c r="E30" i="1" s="1"/>
  <c r="J30" i="1" s="1"/>
  <c r="Q29" i="1"/>
  <c r="K29" i="1"/>
  <c r="G29" i="1"/>
  <c r="D29" i="1"/>
  <c r="E29" i="1" s="1"/>
  <c r="J29" i="1" s="1"/>
  <c r="Q28" i="1"/>
  <c r="K28" i="1"/>
  <c r="R28" i="1" s="1"/>
  <c r="G28" i="1"/>
  <c r="D28" i="1"/>
  <c r="E28" i="1" s="1"/>
  <c r="J28" i="1" s="1"/>
  <c r="Q27" i="1"/>
  <c r="K27" i="1"/>
  <c r="R27" i="1" s="1"/>
  <c r="G27" i="1"/>
  <c r="D27" i="1"/>
  <c r="E27" i="1" s="1"/>
  <c r="J27" i="1" s="1"/>
  <c r="Q26" i="1"/>
  <c r="K26" i="1"/>
  <c r="G26" i="1"/>
  <c r="D26" i="1"/>
  <c r="E26" i="1" s="1"/>
  <c r="J26" i="1" s="1"/>
  <c r="Q25" i="1"/>
  <c r="K25" i="1"/>
  <c r="R25" i="1" s="1"/>
  <c r="G25" i="1"/>
  <c r="D25" i="1"/>
  <c r="E25" i="1" s="1"/>
  <c r="J25" i="1" s="1"/>
  <c r="Q24" i="1"/>
  <c r="M24" i="1"/>
  <c r="K24" i="1"/>
  <c r="R24" i="1" s="1"/>
  <c r="G24" i="1"/>
  <c r="D24" i="1"/>
  <c r="E24" i="1" s="1"/>
  <c r="J24" i="1" s="1"/>
  <c r="Q23" i="1"/>
  <c r="M23" i="1"/>
  <c r="K23" i="1"/>
  <c r="R23" i="1" s="1"/>
  <c r="G23" i="1"/>
  <c r="D23" i="1"/>
  <c r="E23" i="1" s="1"/>
  <c r="J23" i="1" s="1"/>
  <c r="Q22" i="1"/>
  <c r="M22" i="1"/>
  <c r="K22" i="1"/>
  <c r="R22" i="1" s="1"/>
  <c r="G22" i="1"/>
  <c r="D22" i="1"/>
  <c r="E22" i="1" s="1"/>
  <c r="J22" i="1" s="1"/>
  <c r="Q21" i="1"/>
  <c r="K21" i="1"/>
  <c r="G21" i="1"/>
  <c r="D21" i="1"/>
  <c r="E21" i="1" s="1"/>
  <c r="J21" i="1" s="1"/>
  <c r="Q20" i="1"/>
  <c r="K20" i="1"/>
  <c r="R20" i="1" s="1"/>
  <c r="G20" i="1"/>
  <c r="D20" i="1"/>
  <c r="E20" i="1" s="1"/>
  <c r="J20" i="1" s="1"/>
  <c r="Q19" i="1"/>
  <c r="K19" i="1"/>
  <c r="R19" i="1" s="1"/>
  <c r="G19" i="1"/>
  <c r="D19" i="1"/>
  <c r="E19" i="1" s="1"/>
  <c r="J19" i="1" s="1"/>
  <c r="Q18" i="1"/>
  <c r="K18" i="1"/>
  <c r="G18" i="1"/>
  <c r="D18" i="1"/>
  <c r="E18" i="1" s="1"/>
  <c r="J18" i="1" s="1"/>
  <c r="Q17" i="1"/>
  <c r="K17" i="1"/>
  <c r="R17" i="1" s="1"/>
  <c r="G17" i="1"/>
  <c r="D17" i="1"/>
  <c r="E17" i="1" s="1"/>
  <c r="J17" i="1" s="1"/>
  <c r="Q16" i="1"/>
  <c r="M16" i="1"/>
  <c r="K16" i="1"/>
  <c r="R16" i="1" s="1"/>
  <c r="G16" i="1"/>
  <c r="D16" i="1"/>
  <c r="E16" i="1" s="1"/>
  <c r="J16" i="1" s="1"/>
  <c r="Q15" i="1"/>
  <c r="K15" i="1"/>
  <c r="R15" i="1" s="1"/>
  <c r="G15" i="1"/>
  <c r="D15" i="1"/>
  <c r="E15" i="1" s="1"/>
  <c r="J15" i="1" s="1"/>
  <c r="E10" i="1"/>
  <c r="E9" i="1"/>
  <c r="H8" i="1"/>
  <c r="E8" i="1"/>
  <c r="B8" i="1"/>
  <c r="H7" i="1"/>
  <c r="E7" i="1"/>
  <c r="M15" i="15" l="1"/>
  <c r="L58" i="15"/>
  <c r="N53" i="15"/>
  <c r="J31" i="15"/>
  <c r="L31" i="15"/>
  <c r="N31" i="15"/>
  <c r="J58" i="15"/>
  <c r="N58" i="15"/>
  <c r="J55" i="15"/>
  <c r="L55" i="15"/>
  <c r="N55" i="15"/>
  <c r="N18" i="15"/>
  <c r="J18" i="15"/>
  <c r="N21" i="15"/>
  <c r="J42" i="15"/>
  <c r="N42" i="15"/>
  <c r="N45" i="15"/>
  <c r="J39" i="15"/>
  <c r="L39" i="15"/>
  <c r="N39" i="15"/>
  <c r="J15" i="15"/>
  <c r="L15" i="15"/>
  <c r="N15" i="15" s="1"/>
  <c r="L18" i="15"/>
  <c r="L42" i="15"/>
  <c r="J63" i="15"/>
  <c r="N63" i="15"/>
  <c r="L63" i="15"/>
  <c r="J26" i="15"/>
  <c r="N26" i="15"/>
  <c r="J50" i="15"/>
  <c r="N50" i="15"/>
  <c r="J23" i="15"/>
  <c r="L23" i="15"/>
  <c r="N23" i="15"/>
  <c r="L26" i="15"/>
  <c r="J47" i="15"/>
  <c r="L47" i="15"/>
  <c r="N47" i="15"/>
  <c r="L50" i="15"/>
  <c r="J34" i="15"/>
  <c r="N34" i="15"/>
  <c r="N37" i="15"/>
  <c r="L20" i="15"/>
  <c r="L28" i="15"/>
  <c r="L36" i="15"/>
  <c r="L44" i="15"/>
  <c r="L52" i="15"/>
  <c r="L60" i="15"/>
  <c r="M20" i="15"/>
  <c r="M28" i="15"/>
  <c r="M36" i="15"/>
  <c r="M44" i="15"/>
  <c r="M52" i="15"/>
  <c r="M60" i="15"/>
  <c r="L17" i="15"/>
  <c r="N20" i="15"/>
  <c r="L25" i="15"/>
  <c r="N28" i="15"/>
  <c r="L33" i="15"/>
  <c r="N36" i="15"/>
  <c r="L41" i="15"/>
  <c r="N44" i="15"/>
  <c r="L49" i="15"/>
  <c r="N52" i="15"/>
  <c r="L57" i="15"/>
  <c r="N60" i="15"/>
  <c r="M17" i="15"/>
  <c r="M25" i="15"/>
  <c r="M33" i="15"/>
  <c r="M41" i="15"/>
  <c r="M49" i="15"/>
  <c r="M57" i="15"/>
  <c r="N17" i="15"/>
  <c r="L22" i="15"/>
  <c r="N25" i="15"/>
  <c r="L30" i="15"/>
  <c r="N33" i="15"/>
  <c r="L38" i="15"/>
  <c r="N41" i="15"/>
  <c r="L46" i="15"/>
  <c r="N49" i="15"/>
  <c r="L54" i="15"/>
  <c r="N57" i="15"/>
  <c r="L62" i="15"/>
  <c r="M22" i="15"/>
  <c r="M30" i="15"/>
  <c r="M38" i="15"/>
  <c r="M46" i="15"/>
  <c r="M54" i="15"/>
  <c r="M62" i="15"/>
  <c r="L19" i="15"/>
  <c r="N22" i="15"/>
  <c r="L27" i="15"/>
  <c r="N30" i="15"/>
  <c r="L35" i="15"/>
  <c r="N38" i="15"/>
  <c r="L43" i="15"/>
  <c r="N46" i="15"/>
  <c r="L51" i="15"/>
  <c r="N54" i="15"/>
  <c r="L59" i="15"/>
  <c r="N62" i="15"/>
  <c r="M19" i="15"/>
  <c r="M27" i="15"/>
  <c r="M35" i="15"/>
  <c r="M43" i="15"/>
  <c r="M51" i="15"/>
  <c r="M59" i="15"/>
  <c r="L16" i="15"/>
  <c r="N19" i="15"/>
  <c r="L24" i="15"/>
  <c r="N27" i="15"/>
  <c r="L32" i="15"/>
  <c r="N35" i="15"/>
  <c r="L40" i="15"/>
  <c r="N43" i="15"/>
  <c r="L48" i="15"/>
  <c r="N51" i="15"/>
  <c r="L56" i="15"/>
  <c r="N59" i="15"/>
  <c r="L64" i="15"/>
  <c r="M16" i="15"/>
  <c r="M24" i="15"/>
  <c r="M32" i="15"/>
  <c r="M64" i="15"/>
  <c r="N16" i="15"/>
  <c r="L21" i="15"/>
  <c r="N24" i="15"/>
  <c r="L29" i="15"/>
  <c r="N32" i="15"/>
  <c r="L37" i="15"/>
  <c r="N40" i="15"/>
  <c r="L45" i="15"/>
  <c r="N48" i="15"/>
  <c r="L53" i="15"/>
  <c r="N56" i="15"/>
  <c r="L61" i="15"/>
  <c r="N64" i="15"/>
  <c r="M21" i="15"/>
  <c r="M29" i="15"/>
  <c r="M37" i="15"/>
  <c r="M45" i="15"/>
  <c r="M53" i="15"/>
  <c r="M61" i="15"/>
  <c r="H5" i="14"/>
  <c r="H6" i="14" s="1"/>
  <c r="M15" i="14"/>
  <c r="L35" i="14"/>
  <c r="J35" i="14"/>
  <c r="N38" i="14"/>
  <c r="L38" i="14"/>
  <c r="J38" i="14"/>
  <c r="J23" i="14"/>
  <c r="N23" i="14"/>
  <c r="L23" i="14"/>
  <c r="L59" i="14"/>
  <c r="J59" i="14"/>
  <c r="N62" i="14"/>
  <c r="J62" i="14"/>
  <c r="L62" i="14"/>
  <c r="J47" i="14"/>
  <c r="N47" i="14"/>
  <c r="L47" i="14"/>
  <c r="J39" i="14"/>
  <c r="N39" i="14"/>
  <c r="L39" i="14"/>
  <c r="L33" i="14"/>
  <c r="N33" i="14"/>
  <c r="J27" i="14"/>
  <c r="L27" i="14"/>
  <c r="L51" i="14"/>
  <c r="J51" i="14"/>
  <c r="N30" i="14"/>
  <c r="L30" i="14"/>
  <c r="J30" i="14"/>
  <c r="N54" i="14"/>
  <c r="L54" i="14"/>
  <c r="J54" i="14"/>
  <c r="J57" i="14"/>
  <c r="L57" i="14"/>
  <c r="N57" i="14"/>
  <c r="J31" i="14"/>
  <c r="L31" i="14"/>
  <c r="N31" i="14"/>
  <c r="J19" i="14"/>
  <c r="L19" i="14"/>
  <c r="L25" i="14"/>
  <c r="N25" i="14"/>
  <c r="L49" i="14"/>
  <c r="N49" i="14"/>
  <c r="L34" i="14"/>
  <c r="J46" i="14"/>
  <c r="N53" i="14"/>
  <c r="N37" i="14"/>
  <c r="N41" i="14"/>
  <c r="L46" i="14"/>
  <c r="N55" i="14"/>
  <c r="N17" i="14"/>
  <c r="N61" i="14"/>
  <c r="N45" i="14"/>
  <c r="N21" i="14"/>
  <c r="L26" i="14"/>
  <c r="L22" i="14"/>
  <c r="N22" i="14"/>
  <c r="J22" i="14"/>
  <c r="J34" i="14"/>
  <c r="N34" i="14"/>
  <c r="N44" i="14"/>
  <c r="L44" i="14"/>
  <c r="J44" i="14"/>
  <c r="J15" i="14"/>
  <c r="L15" i="14"/>
  <c r="N15" i="14" s="1"/>
  <c r="N20" i="14"/>
  <c r="N28" i="14"/>
  <c r="L28" i="14"/>
  <c r="J28" i="14"/>
  <c r="N60" i="14"/>
  <c r="L60" i="14"/>
  <c r="J60" i="14"/>
  <c r="J18" i="14"/>
  <c r="N18" i="14"/>
  <c r="L58" i="14"/>
  <c r="L42" i="14"/>
  <c r="L18" i="14"/>
  <c r="J26" i="14"/>
  <c r="N26" i="14"/>
  <c r="N52" i="14"/>
  <c r="L52" i="14"/>
  <c r="J52" i="14"/>
  <c r="N36" i="14"/>
  <c r="L36" i="14"/>
  <c r="J36" i="14"/>
  <c r="J42" i="14"/>
  <c r="N42" i="14"/>
  <c r="M18" i="14"/>
  <c r="M26" i="14"/>
  <c r="M34" i="14"/>
  <c r="M42" i="14"/>
  <c r="M50" i="14"/>
  <c r="M58" i="14"/>
  <c r="N50" i="14"/>
  <c r="L55" i="14"/>
  <c r="N58" i="14"/>
  <c r="L63" i="14"/>
  <c r="J17" i="14"/>
  <c r="R18" i="14"/>
  <c r="L20" i="14"/>
  <c r="J25" i="14"/>
  <c r="R26" i="14"/>
  <c r="J33" i="14"/>
  <c r="R34" i="14"/>
  <c r="J41" i="14"/>
  <c r="R42" i="14"/>
  <c r="J49" i="14"/>
  <c r="R50" i="14"/>
  <c r="R58" i="14"/>
  <c r="N63" i="14"/>
  <c r="M20" i="14"/>
  <c r="H7" i="14"/>
  <c r="M22" i="14"/>
  <c r="M30" i="14"/>
  <c r="M62" i="14"/>
  <c r="L16" i="14"/>
  <c r="N19" i="14"/>
  <c r="J21" i="14"/>
  <c r="L24" i="14"/>
  <c r="N27" i="14"/>
  <c r="J29" i="14"/>
  <c r="L32" i="14"/>
  <c r="N35" i="14"/>
  <c r="J37" i="14"/>
  <c r="L40" i="14"/>
  <c r="N43" i="14"/>
  <c r="J45" i="14"/>
  <c r="L48" i="14"/>
  <c r="N51" i="14"/>
  <c r="J53" i="14"/>
  <c r="L56" i="14"/>
  <c r="N59" i="14"/>
  <c r="J61" i="14"/>
  <c r="L64" i="14"/>
  <c r="M24" i="14"/>
  <c r="M32" i="14"/>
  <c r="M40" i="14"/>
  <c r="M48" i="14"/>
  <c r="M56" i="14"/>
  <c r="M64" i="14"/>
  <c r="N16" i="14"/>
  <c r="N24" i="14"/>
  <c r="N32" i="14"/>
  <c r="N40" i="14"/>
  <c r="N48" i="14"/>
  <c r="N56" i="14"/>
  <c r="N64" i="14"/>
  <c r="M15" i="13"/>
  <c r="N45" i="13"/>
  <c r="L42" i="13"/>
  <c r="M19" i="13"/>
  <c r="E10" i="13"/>
  <c r="H5" i="13" s="1"/>
  <c r="H6" i="13" s="1"/>
  <c r="N61" i="13"/>
  <c r="L26" i="13"/>
  <c r="L58" i="13"/>
  <c r="N37" i="13"/>
  <c r="L34" i="13"/>
  <c r="N53" i="13"/>
  <c r="L18" i="13"/>
  <c r="M18" i="13"/>
  <c r="M26" i="13"/>
  <c r="M42" i="13"/>
  <c r="M34" i="13"/>
  <c r="M50" i="13"/>
  <c r="M58" i="13"/>
  <c r="L15" i="13"/>
  <c r="N15" i="13" s="1"/>
  <c r="N18" i="13"/>
  <c r="R21" i="13"/>
  <c r="L23" i="13"/>
  <c r="N26" i="13"/>
  <c r="R29" i="13"/>
  <c r="L31" i="13"/>
  <c r="N34" i="13"/>
  <c r="R37" i="13"/>
  <c r="L39" i="13"/>
  <c r="N42" i="13"/>
  <c r="R45" i="13"/>
  <c r="L47" i="13"/>
  <c r="N50" i="13"/>
  <c r="R53" i="13"/>
  <c r="L55" i="13"/>
  <c r="N58" i="13"/>
  <c r="R61" i="13"/>
  <c r="L63" i="13"/>
  <c r="M63" i="13"/>
  <c r="R18" i="13"/>
  <c r="L20" i="13"/>
  <c r="N23" i="13"/>
  <c r="R26" i="13"/>
  <c r="L28" i="13"/>
  <c r="N31" i="13"/>
  <c r="R34" i="13"/>
  <c r="L36" i="13"/>
  <c r="N39" i="13"/>
  <c r="R42" i="13"/>
  <c r="L44" i="13"/>
  <c r="N47" i="13"/>
  <c r="R50" i="13"/>
  <c r="L52" i="13"/>
  <c r="N55" i="13"/>
  <c r="R58" i="13"/>
  <c r="L60" i="13"/>
  <c r="N63" i="13"/>
  <c r="M44" i="13"/>
  <c r="M52" i="13"/>
  <c r="M60" i="13"/>
  <c r="L17" i="13"/>
  <c r="N17" i="13" s="1"/>
  <c r="N20" i="13"/>
  <c r="L25" i="13"/>
  <c r="N28" i="13"/>
  <c r="L33" i="13"/>
  <c r="N36" i="13"/>
  <c r="L41" i="13"/>
  <c r="N44" i="13"/>
  <c r="L49" i="13"/>
  <c r="N52" i="13"/>
  <c r="L57" i="13"/>
  <c r="N60" i="13"/>
  <c r="M25" i="13"/>
  <c r="M17" i="13"/>
  <c r="L22" i="13"/>
  <c r="N25" i="13"/>
  <c r="L30" i="13"/>
  <c r="N33" i="13"/>
  <c r="L38" i="13"/>
  <c r="N41" i="13"/>
  <c r="L46" i="13"/>
  <c r="N49" i="13"/>
  <c r="L54" i="13"/>
  <c r="N57" i="13"/>
  <c r="L62" i="13"/>
  <c r="M30" i="13"/>
  <c r="M38" i="13"/>
  <c r="M46" i="13"/>
  <c r="M62" i="13"/>
  <c r="M22" i="13"/>
  <c r="M54" i="13"/>
  <c r="L19" i="13"/>
  <c r="N22" i="13"/>
  <c r="L27" i="13"/>
  <c r="N30" i="13"/>
  <c r="L35" i="13"/>
  <c r="N38" i="13"/>
  <c r="L43" i="13"/>
  <c r="N46" i="13"/>
  <c r="L51" i="13"/>
  <c r="N54" i="13"/>
  <c r="L59" i="13"/>
  <c r="N62" i="13"/>
  <c r="L16" i="13"/>
  <c r="N19" i="13"/>
  <c r="L24" i="13"/>
  <c r="N27" i="13"/>
  <c r="L32" i="13"/>
  <c r="N35" i="13"/>
  <c r="L40" i="13"/>
  <c r="N43" i="13"/>
  <c r="L48" i="13"/>
  <c r="N51" i="13"/>
  <c r="L56" i="13"/>
  <c r="N59" i="13"/>
  <c r="L64" i="13"/>
  <c r="M24" i="13"/>
  <c r="M32" i="13"/>
  <c r="M48" i="13"/>
  <c r="M56" i="13"/>
  <c r="M64" i="13"/>
  <c r="M16" i="13"/>
  <c r="M40" i="13"/>
  <c r="N16" i="13"/>
  <c r="L21" i="13"/>
  <c r="N24" i="13"/>
  <c r="L29" i="13"/>
  <c r="N32" i="13"/>
  <c r="L37" i="13"/>
  <c r="N40" i="13"/>
  <c r="L45" i="13"/>
  <c r="N48" i="13"/>
  <c r="L53" i="13"/>
  <c r="N56" i="13"/>
  <c r="L61" i="13"/>
  <c r="N64" i="13"/>
  <c r="M61" i="13"/>
  <c r="J34" i="12"/>
  <c r="N34" i="12"/>
  <c r="L34" i="12"/>
  <c r="J58" i="12"/>
  <c r="N58" i="12"/>
  <c r="N42" i="12"/>
  <c r="N48" i="12"/>
  <c r="N51" i="12"/>
  <c r="N37" i="12"/>
  <c r="N18" i="12"/>
  <c r="L48" i="12"/>
  <c r="L29" i="12"/>
  <c r="L58" i="12"/>
  <c r="N61" i="12"/>
  <c r="N29" i="12"/>
  <c r="L32" i="12"/>
  <c r="N55" i="12"/>
  <c r="L55" i="12"/>
  <c r="J55" i="12"/>
  <c r="L36" i="12"/>
  <c r="J36" i="12"/>
  <c r="J31" i="12"/>
  <c r="N31" i="12"/>
  <c r="L31" i="12"/>
  <c r="J15" i="12"/>
  <c r="N52" i="12"/>
  <c r="R52" i="12"/>
  <c r="M52" i="12"/>
  <c r="L50" i="12"/>
  <c r="L52" i="12"/>
  <c r="N46" i="12"/>
  <c r="M50" i="12"/>
  <c r="L21" i="12"/>
  <c r="L23" i="12"/>
  <c r="N44" i="12"/>
  <c r="R44" i="12"/>
  <c r="M44" i="12"/>
  <c r="N50" i="12"/>
  <c r="M21" i="12"/>
  <c r="M23" i="12"/>
  <c r="L40" i="12"/>
  <c r="L42" i="12"/>
  <c r="L44" i="12"/>
  <c r="L61" i="12"/>
  <c r="L63" i="12"/>
  <c r="R15" i="12"/>
  <c r="E8" i="12"/>
  <c r="H5" i="12" s="1"/>
  <c r="H6" i="12" s="1"/>
  <c r="N19" i="12"/>
  <c r="N23" i="12"/>
  <c r="N38" i="12"/>
  <c r="M42" i="12"/>
  <c r="M61" i="12"/>
  <c r="M63" i="12"/>
  <c r="L15" i="12"/>
  <c r="N15" i="12" s="1"/>
  <c r="R17" i="12"/>
  <c r="N17" i="12"/>
  <c r="M17" i="12"/>
  <c r="L17" i="12"/>
  <c r="N36" i="12"/>
  <c r="R36" i="12"/>
  <c r="M36" i="12"/>
  <c r="N40" i="12"/>
  <c r="N59" i="12"/>
  <c r="N63" i="12"/>
  <c r="R28" i="12"/>
  <c r="M28" i="12"/>
  <c r="N28" i="12"/>
  <c r="L64" i="12"/>
  <c r="N20" i="12"/>
  <c r="R20" i="12"/>
  <c r="M20" i="12"/>
  <c r="N24" i="12"/>
  <c r="N26" i="12"/>
  <c r="N43" i="12"/>
  <c r="N45" i="12"/>
  <c r="N47" i="12"/>
  <c r="N62" i="12"/>
  <c r="L16" i="12"/>
  <c r="N16" i="12" s="1"/>
  <c r="L18" i="12"/>
  <c r="L20" i="12"/>
  <c r="L37" i="12"/>
  <c r="L39" i="12"/>
  <c r="R60" i="12"/>
  <c r="M60" i="12"/>
  <c r="N60" i="12"/>
  <c r="N64" i="12"/>
  <c r="N30" i="12"/>
  <c r="L26" i="12"/>
  <c r="L28" i="12"/>
  <c r="L45" i="12"/>
  <c r="M18" i="12"/>
  <c r="R26" i="12"/>
  <c r="M37" i="12"/>
  <c r="M39" i="12"/>
  <c r="R45" i="12"/>
  <c r="L56" i="12"/>
  <c r="L60" i="12"/>
  <c r="L24" i="12"/>
  <c r="L47" i="12"/>
  <c r="N22" i="12"/>
  <c r="M47" i="12"/>
  <c r="N35" i="12"/>
  <c r="N39" i="12"/>
  <c r="N54" i="12"/>
  <c r="L33" i="12"/>
  <c r="L49" i="12"/>
  <c r="M22" i="12"/>
  <c r="M30" i="12"/>
  <c r="M38" i="12"/>
  <c r="M46" i="12"/>
  <c r="M54" i="12"/>
  <c r="M62" i="12"/>
  <c r="L25" i="12"/>
  <c r="L57" i="12"/>
  <c r="M25" i="12"/>
  <c r="M33" i="12"/>
  <c r="M49" i="12"/>
  <c r="M57" i="12"/>
  <c r="L22" i="12"/>
  <c r="N25" i="12"/>
  <c r="L30" i="12"/>
  <c r="N33" i="12"/>
  <c r="L38" i="12"/>
  <c r="N41" i="12"/>
  <c r="L46" i="12"/>
  <c r="N49" i="12"/>
  <c r="L54" i="12"/>
  <c r="N57" i="12"/>
  <c r="L62" i="12"/>
  <c r="L19" i="12"/>
  <c r="L27" i="12"/>
  <c r="L35" i="12"/>
  <c r="R41" i="12"/>
  <c r="L43" i="12"/>
  <c r="L51" i="12"/>
  <c r="L59" i="12"/>
  <c r="L41" i="12"/>
  <c r="N61" i="11"/>
  <c r="N53" i="11"/>
  <c r="L60" i="11"/>
  <c r="N34" i="11"/>
  <c r="L39" i="11"/>
  <c r="H5" i="11"/>
  <c r="H6" i="11" s="1"/>
  <c r="J46" i="11"/>
  <c r="N46" i="11"/>
  <c r="J62" i="11"/>
  <c r="N62" i="11"/>
  <c r="J22" i="11"/>
  <c r="N22" i="11"/>
  <c r="J38" i="11"/>
  <c r="N38" i="11"/>
  <c r="N54" i="11"/>
  <c r="J54" i="11"/>
  <c r="J30" i="11"/>
  <c r="N30" i="11"/>
  <c r="R44" i="11"/>
  <c r="N44" i="11"/>
  <c r="M44" i="11"/>
  <c r="N49" i="11"/>
  <c r="R52" i="11"/>
  <c r="N52" i="11"/>
  <c r="M52" i="11"/>
  <c r="R20" i="11"/>
  <c r="N20" i="11"/>
  <c r="M20" i="11"/>
  <c r="N25" i="11"/>
  <c r="L18" i="11"/>
  <c r="N18" i="11" s="1"/>
  <c r="M55" i="11"/>
  <c r="N50" i="11"/>
  <c r="M23" i="11"/>
  <c r="R28" i="11"/>
  <c r="N28" i="11"/>
  <c r="M28" i="11"/>
  <c r="N33" i="11"/>
  <c r="N23" i="11"/>
  <c r="N63" i="11"/>
  <c r="J19" i="11"/>
  <c r="N21" i="11"/>
  <c r="M31" i="11"/>
  <c r="R36" i="11"/>
  <c r="N36" i="11"/>
  <c r="M36" i="11"/>
  <c r="N41" i="11"/>
  <c r="N57" i="11"/>
  <c r="N35" i="11"/>
  <c r="J35" i="11"/>
  <c r="L58" i="11"/>
  <c r="N58" i="11"/>
  <c r="L19" i="11"/>
  <c r="N19" i="11" s="1"/>
  <c r="N31" i="11"/>
  <c r="L34" i="11"/>
  <c r="L36" i="11"/>
  <c r="L42" i="11"/>
  <c r="L44" i="11"/>
  <c r="N37" i="11"/>
  <c r="L15" i="11"/>
  <c r="N15" i="11" s="1"/>
  <c r="N42" i="11"/>
  <c r="L47" i="11"/>
  <c r="M15" i="11"/>
  <c r="M47" i="11"/>
  <c r="L52" i="11"/>
  <c r="R60" i="11"/>
  <c r="N60" i="11"/>
  <c r="M60" i="11"/>
  <c r="L20" i="11"/>
  <c r="N47" i="11"/>
  <c r="L50" i="11"/>
  <c r="L55" i="11"/>
  <c r="N43" i="11"/>
  <c r="J43" i="11"/>
  <c r="N45" i="11"/>
  <c r="L23" i="11"/>
  <c r="N55" i="11"/>
  <c r="L63" i="11"/>
  <c r="M63" i="11"/>
  <c r="L26" i="11"/>
  <c r="L28" i="11"/>
  <c r="L43" i="11"/>
  <c r="N51" i="11"/>
  <c r="L51" i="11"/>
  <c r="J51" i="11"/>
  <c r="N26" i="11"/>
  <c r="L31" i="11"/>
  <c r="N59" i="11"/>
  <c r="L59" i="11"/>
  <c r="J59" i="11"/>
  <c r="N27" i="11"/>
  <c r="J27" i="11"/>
  <c r="N29" i="11"/>
  <c r="L17" i="11"/>
  <c r="N17" i="11" s="1"/>
  <c r="L25" i="11"/>
  <c r="L33" i="11"/>
  <c r="L41" i="11"/>
  <c r="L49" i="11"/>
  <c r="L57" i="11"/>
  <c r="M17" i="11"/>
  <c r="M25" i="11"/>
  <c r="M33" i="11"/>
  <c r="M41" i="11"/>
  <c r="M49" i="11"/>
  <c r="M57" i="11"/>
  <c r="L22" i="11"/>
  <c r="L30" i="11"/>
  <c r="L38" i="11"/>
  <c r="L46" i="11"/>
  <c r="L54" i="11"/>
  <c r="L62" i="11"/>
  <c r="L32" i="11"/>
  <c r="M24" i="11"/>
  <c r="M32" i="11"/>
  <c r="M48" i="11"/>
  <c r="M56" i="11"/>
  <c r="M64" i="11"/>
  <c r="N64" i="11"/>
  <c r="M21" i="11"/>
  <c r="M29" i="11"/>
  <c r="M37" i="11"/>
  <c r="M45" i="11"/>
  <c r="M53" i="11"/>
  <c r="M61" i="11"/>
  <c r="L16" i="11"/>
  <c r="N16" i="11" s="1"/>
  <c r="L24" i="11"/>
  <c r="L40" i="11"/>
  <c r="L48" i="11"/>
  <c r="L56" i="11"/>
  <c r="L64" i="11"/>
  <c r="M16" i="11"/>
  <c r="M40" i="11"/>
  <c r="L21" i="11"/>
  <c r="N24" i="11"/>
  <c r="L29" i="11"/>
  <c r="N32" i="11"/>
  <c r="L37" i="11"/>
  <c r="N40" i="11"/>
  <c r="L45" i="11"/>
  <c r="N48" i="11"/>
  <c r="L53" i="11"/>
  <c r="N56" i="11"/>
  <c r="L61" i="11"/>
  <c r="M38" i="10"/>
  <c r="R58" i="10"/>
  <c r="M21" i="10"/>
  <c r="M22" i="10"/>
  <c r="R29" i="10"/>
  <c r="R46" i="10"/>
  <c r="R26" i="10"/>
  <c r="M50" i="10"/>
  <c r="M62" i="10"/>
  <c r="M42" i="10"/>
  <c r="M23" i="10"/>
  <c r="M47" i="10"/>
  <c r="N26" i="10"/>
  <c r="L26" i="10"/>
  <c r="N42" i="10"/>
  <c r="J50" i="10"/>
  <c r="N50" i="10"/>
  <c r="J58" i="10"/>
  <c r="N58" i="10"/>
  <c r="L58" i="10"/>
  <c r="N34" i="10"/>
  <c r="L34" i="10"/>
  <c r="N53" i="10"/>
  <c r="L50" i="10"/>
  <c r="N23" i="10"/>
  <c r="L42" i="10"/>
  <c r="N61" i="10"/>
  <c r="R18" i="10"/>
  <c r="N46" i="10"/>
  <c r="J46" i="10"/>
  <c r="N30" i="10"/>
  <c r="J30" i="10"/>
  <c r="N54" i="10"/>
  <c r="J54" i="10"/>
  <c r="N38" i="10"/>
  <c r="J38" i="10"/>
  <c r="J22" i="10"/>
  <c r="N22" i="10"/>
  <c r="N62" i="10"/>
  <c r="J62" i="10"/>
  <c r="R51" i="10"/>
  <c r="N51" i="10"/>
  <c r="L51" i="10"/>
  <c r="M51" i="10"/>
  <c r="L54" i="10"/>
  <c r="L62" i="10"/>
  <c r="R35" i="10"/>
  <c r="N35" i="10"/>
  <c r="L35" i="10"/>
  <c r="M35" i="10"/>
  <c r="L20" i="10"/>
  <c r="L30" i="10"/>
  <c r="L38" i="10"/>
  <c r="M15" i="10"/>
  <c r="L18" i="10"/>
  <c r="N18" i="10" s="1"/>
  <c r="N25" i="10"/>
  <c r="M25" i="10"/>
  <c r="L25" i="10"/>
  <c r="R52" i="10"/>
  <c r="N52" i="10"/>
  <c r="M52" i="10"/>
  <c r="R60" i="10"/>
  <c r="N60" i="10"/>
  <c r="M60" i="10"/>
  <c r="R28" i="10"/>
  <c r="N28" i="10"/>
  <c r="R33" i="10"/>
  <c r="N33" i="10"/>
  <c r="M33" i="10"/>
  <c r="L33" i="10"/>
  <c r="R36" i="10"/>
  <c r="N36" i="10"/>
  <c r="R41" i="10"/>
  <c r="N41" i="10"/>
  <c r="M41" i="10"/>
  <c r="L41" i="10"/>
  <c r="R44" i="10"/>
  <c r="N44" i="10"/>
  <c r="M44" i="10"/>
  <c r="L52" i="10"/>
  <c r="L60" i="10"/>
  <c r="R25" i="10"/>
  <c r="L28" i="10"/>
  <c r="L36" i="10"/>
  <c r="L44" i="10"/>
  <c r="L55" i="10"/>
  <c r="L63" i="10"/>
  <c r="L23" i="10"/>
  <c r="M28" i="10"/>
  <c r="M36" i="10"/>
  <c r="L47" i="10"/>
  <c r="M55" i="10"/>
  <c r="M63" i="10"/>
  <c r="M17" i="10"/>
  <c r="L17" i="10"/>
  <c r="N17" i="10" s="1"/>
  <c r="L22" i="10"/>
  <c r="R59" i="10"/>
  <c r="N59" i="10"/>
  <c r="L59" i="10"/>
  <c r="M59" i="10"/>
  <c r="L15" i="10"/>
  <c r="N15" i="10" s="1"/>
  <c r="N57" i="10"/>
  <c r="N21" i="10"/>
  <c r="N55" i="10"/>
  <c r="N63" i="10"/>
  <c r="L39" i="10"/>
  <c r="N47" i="10"/>
  <c r="M31" i="10"/>
  <c r="M39" i="10"/>
  <c r="N45" i="10"/>
  <c r="R19" i="10"/>
  <c r="N19" i="10"/>
  <c r="M19" i="10"/>
  <c r="N37" i="10"/>
  <c r="N39" i="10"/>
  <c r="E8" i="10"/>
  <c r="L19" i="10"/>
  <c r="J64" i="10"/>
  <c r="L56" i="10"/>
  <c r="J56" i="10"/>
  <c r="R27" i="10"/>
  <c r="N27" i="10"/>
  <c r="L27" i="10"/>
  <c r="M27" i="10"/>
  <c r="R43" i="10"/>
  <c r="N43" i="10"/>
  <c r="L43" i="10"/>
  <c r="M43" i="10"/>
  <c r="L46" i="10"/>
  <c r="R20" i="10"/>
  <c r="N20" i="10"/>
  <c r="L31" i="10"/>
  <c r="N29" i="10"/>
  <c r="N31" i="10"/>
  <c r="L49" i="10"/>
  <c r="L57" i="10"/>
  <c r="M49" i="10"/>
  <c r="M57" i="10"/>
  <c r="N49" i="10"/>
  <c r="E10" i="10"/>
  <c r="L16" i="10"/>
  <c r="N16" i="10" s="1"/>
  <c r="L24" i="10"/>
  <c r="L32" i="10"/>
  <c r="L40" i="10"/>
  <c r="L48" i="10"/>
  <c r="M16" i="10"/>
  <c r="M24" i="10"/>
  <c r="M32" i="10"/>
  <c r="M40" i="10"/>
  <c r="M48" i="10"/>
  <c r="M56" i="10"/>
  <c r="M64" i="10"/>
  <c r="L21" i="10"/>
  <c r="N24" i="10"/>
  <c r="L29" i="10"/>
  <c r="N32" i="10"/>
  <c r="L37" i="10"/>
  <c r="N40" i="10"/>
  <c r="L45" i="10"/>
  <c r="N48" i="10"/>
  <c r="L53" i="10"/>
  <c r="N56" i="10"/>
  <c r="L61" i="10"/>
  <c r="N64" i="10"/>
  <c r="M45" i="10"/>
  <c r="M53" i="10"/>
  <c r="M61" i="10"/>
  <c r="N53" i="9"/>
  <c r="M36" i="9"/>
  <c r="R36" i="9"/>
  <c r="N36" i="9"/>
  <c r="M39" i="9"/>
  <c r="N45" i="9"/>
  <c r="N62" i="9"/>
  <c r="N39" i="9"/>
  <c r="N42" i="9"/>
  <c r="N20" i="9"/>
  <c r="R20" i="9"/>
  <c r="M31" i="9"/>
  <c r="M20" i="9"/>
  <c r="N60" i="9"/>
  <c r="M60" i="9"/>
  <c r="R60" i="9"/>
  <c r="N26" i="9"/>
  <c r="M63" i="9"/>
  <c r="M15" i="9"/>
  <c r="N63" i="9"/>
  <c r="N49" i="9"/>
  <c r="R52" i="9"/>
  <c r="N52" i="9"/>
  <c r="M52" i="9"/>
  <c r="L52" i="9"/>
  <c r="L55" i="9"/>
  <c r="L58" i="9"/>
  <c r="L39" i="9"/>
  <c r="R28" i="9"/>
  <c r="N28" i="9"/>
  <c r="M42" i="9"/>
  <c r="L28" i="9"/>
  <c r="R17" i="9"/>
  <c r="E8" i="9"/>
  <c r="M17" i="9"/>
  <c r="L17" i="9"/>
  <c r="N17" i="9" s="1"/>
  <c r="L34" i="9"/>
  <c r="L20" i="9"/>
  <c r="N37" i="9"/>
  <c r="L26" i="9"/>
  <c r="N31" i="9"/>
  <c r="M23" i="9"/>
  <c r="L63" i="9"/>
  <c r="L15" i="9"/>
  <c r="N15" i="9" s="1"/>
  <c r="N23" i="9"/>
  <c r="N29" i="9"/>
  <c r="L60" i="9"/>
  <c r="M18" i="9"/>
  <c r="N21" i="9"/>
  <c r="R18" i="9"/>
  <c r="J44" i="9"/>
  <c r="M55" i="9"/>
  <c r="N61" i="9"/>
  <c r="N22" i="9"/>
  <c r="L36" i="9"/>
  <c r="M25" i="9"/>
  <c r="N25" i="9"/>
  <c r="R25" i="9"/>
  <c r="L25" i="9"/>
  <c r="L31" i="9"/>
  <c r="M34" i="9"/>
  <c r="L23" i="9"/>
  <c r="M26" i="9"/>
  <c r="R44" i="9"/>
  <c r="M44" i="9"/>
  <c r="N44" i="9"/>
  <c r="N55" i="9"/>
  <c r="N58" i="9"/>
  <c r="L42" i="9"/>
  <c r="N34" i="9"/>
  <c r="L18" i="9"/>
  <c r="N18" i="9" s="1"/>
  <c r="E10" i="9"/>
  <c r="L47" i="9"/>
  <c r="L50" i="9"/>
  <c r="M62" i="9"/>
  <c r="L49" i="9"/>
  <c r="L57" i="9"/>
  <c r="M41" i="9"/>
  <c r="L30" i="9"/>
  <c r="L46" i="9"/>
  <c r="N57" i="9"/>
  <c r="L62" i="9"/>
  <c r="L64" i="9"/>
  <c r="L33" i="9"/>
  <c r="M33" i="9"/>
  <c r="M49" i="9"/>
  <c r="N41" i="9"/>
  <c r="M22" i="9"/>
  <c r="L27" i="9"/>
  <c r="N30" i="9"/>
  <c r="L35" i="9"/>
  <c r="N38" i="9"/>
  <c r="L43" i="9"/>
  <c r="N46" i="9"/>
  <c r="R49" i="9"/>
  <c r="N54" i="9"/>
  <c r="N19" i="9"/>
  <c r="R22" i="9"/>
  <c r="L24" i="9"/>
  <c r="N27" i="9"/>
  <c r="L32" i="9"/>
  <c r="N35" i="9"/>
  <c r="R38" i="9"/>
  <c r="R46" i="9"/>
  <c r="N51" i="9"/>
  <c r="R54" i="9"/>
  <c r="L56" i="9"/>
  <c r="N59" i="9"/>
  <c r="R62" i="9"/>
  <c r="M16" i="9"/>
  <c r="M24" i="9"/>
  <c r="M32" i="9"/>
  <c r="M40" i="9"/>
  <c r="M48" i="9"/>
  <c r="M56" i="9"/>
  <c r="M64" i="9"/>
  <c r="L41" i="9"/>
  <c r="M57" i="9"/>
  <c r="L22" i="9"/>
  <c r="N33" i="9"/>
  <c r="L38" i="9"/>
  <c r="L54" i="9"/>
  <c r="M30" i="9"/>
  <c r="L19" i="9"/>
  <c r="L51" i="9"/>
  <c r="L59" i="9"/>
  <c r="M19" i="9"/>
  <c r="M27" i="9"/>
  <c r="M35" i="9"/>
  <c r="M43" i="9"/>
  <c r="M51" i="9"/>
  <c r="M59" i="9"/>
  <c r="L16" i="9"/>
  <c r="N16" i="9" s="1"/>
  <c r="L40" i="9"/>
  <c r="N43" i="9"/>
  <c r="L48" i="9"/>
  <c r="L21" i="9"/>
  <c r="N24" i="9"/>
  <c r="L29" i="9"/>
  <c r="N32" i="9"/>
  <c r="L37" i="9"/>
  <c r="N40" i="9"/>
  <c r="L45" i="9"/>
  <c r="N48" i="9"/>
  <c r="L53" i="9"/>
  <c r="N56" i="9"/>
  <c r="L61" i="9"/>
  <c r="N64" i="9"/>
  <c r="M61" i="9"/>
  <c r="N47" i="8"/>
  <c r="N39" i="8"/>
  <c r="E10" i="8"/>
  <c r="R18" i="8"/>
  <c r="J18" i="8"/>
  <c r="N22" i="8"/>
  <c r="J22" i="8"/>
  <c r="N29" i="8"/>
  <c r="J50" i="8"/>
  <c r="N50" i="8"/>
  <c r="N54" i="8"/>
  <c r="J54" i="8"/>
  <c r="J42" i="8"/>
  <c r="N42" i="8"/>
  <c r="J26" i="8"/>
  <c r="N26" i="8"/>
  <c r="L50" i="8"/>
  <c r="L30" i="8"/>
  <c r="J34" i="8"/>
  <c r="N34" i="8"/>
  <c r="N37" i="8"/>
  <c r="J61" i="8"/>
  <c r="L61" i="8"/>
  <c r="L45" i="8"/>
  <c r="J45" i="8"/>
  <c r="N62" i="8"/>
  <c r="J62" i="8"/>
  <c r="N45" i="8"/>
  <c r="L18" i="8"/>
  <c r="N18" i="8" s="1"/>
  <c r="L52" i="8"/>
  <c r="N46" i="8"/>
  <c r="J46" i="8"/>
  <c r="L22" i="8"/>
  <c r="L46" i="8"/>
  <c r="L54" i="8"/>
  <c r="L62" i="8"/>
  <c r="L42" i="8"/>
  <c r="N59" i="8"/>
  <c r="N53" i="8"/>
  <c r="N30" i="8"/>
  <c r="J30" i="8"/>
  <c r="L37" i="8"/>
  <c r="J37" i="8"/>
  <c r="L34" i="8"/>
  <c r="J58" i="8"/>
  <c r="N58" i="8"/>
  <c r="N61" i="8"/>
  <c r="J53" i="8"/>
  <c r="L53" i="8"/>
  <c r="L26" i="8"/>
  <c r="N38" i="8"/>
  <c r="J38" i="8"/>
  <c r="L39" i="8"/>
  <c r="L63" i="8"/>
  <c r="L36" i="8"/>
  <c r="N55" i="8"/>
  <c r="L60" i="8"/>
  <c r="M52" i="8"/>
  <c r="R15" i="8"/>
  <c r="L17" i="8"/>
  <c r="N17" i="8" s="1"/>
  <c r="N20" i="8"/>
  <c r="R23" i="8"/>
  <c r="L25" i="8"/>
  <c r="N28" i="8"/>
  <c r="R31" i="8"/>
  <c r="L33" i="8"/>
  <c r="N36" i="8"/>
  <c r="R39" i="8"/>
  <c r="L41" i="8"/>
  <c r="N44" i="8"/>
  <c r="R47" i="8"/>
  <c r="L49" i="8"/>
  <c r="N52" i="8"/>
  <c r="R55" i="8"/>
  <c r="L57" i="8"/>
  <c r="N60" i="8"/>
  <c r="R63" i="8"/>
  <c r="M17" i="8"/>
  <c r="M25" i="8"/>
  <c r="M33" i="8"/>
  <c r="M41" i="8"/>
  <c r="M49" i="8"/>
  <c r="M57" i="8"/>
  <c r="R20" i="8"/>
  <c r="N25" i="8"/>
  <c r="R28" i="8"/>
  <c r="N33" i="8"/>
  <c r="R36" i="8"/>
  <c r="N41" i="8"/>
  <c r="R44" i="8"/>
  <c r="N49" i="8"/>
  <c r="R52" i="8"/>
  <c r="N57" i="8"/>
  <c r="R60" i="8"/>
  <c r="L31" i="8"/>
  <c r="L47" i="8"/>
  <c r="M39" i="8"/>
  <c r="M47" i="8"/>
  <c r="L20" i="8"/>
  <c r="L28" i="8"/>
  <c r="N31" i="8"/>
  <c r="L44" i="8"/>
  <c r="N63" i="8"/>
  <c r="L43" i="8"/>
  <c r="L59" i="8"/>
  <c r="M35" i="8"/>
  <c r="M51" i="8"/>
  <c r="L40" i="8"/>
  <c r="N43" i="8"/>
  <c r="L48" i="8"/>
  <c r="L56" i="8"/>
  <c r="L64" i="8"/>
  <c r="M16" i="8"/>
  <c r="M24" i="8"/>
  <c r="M32" i="8"/>
  <c r="M40" i="8"/>
  <c r="M48" i="8"/>
  <c r="M56" i="8"/>
  <c r="M64" i="8"/>
  <c r="N23" i="8"/>
  <c r="L35" i="8"/>
  <c r="L24" i="8"/>
  <c r="N27" i="8"/>
  <c r="N51" i="8"/>
  <c r="L21" i="8"/>
  <c r="R27" i="8"/>
  <c r="L15" i="8"/>
  <c r="N15" i="8" s="1"/>
  <c r="L23" i="8"/>
  <c r="L55" i="8"/>
  <c r="M15" i="8"/>
  <c r="E8" i="8"/>
  <c r="H5" i="8" s="1"/>
  <c r="H6" i="8" s="1"/>
  <c r="L27" i="8"/>
  <c r="M19" i="8"/>
  <c r="M43" i="8"/>
  <c r="M59" i="8"/>
  <c r="L16" i="8"/>
  <c r="N16" i="8" s="1"/>
  <c r="N35" i="8"/>
  <c r="N24" i="8"/>
  <c r="N40" i="8"/>
  <c r="N48" i="8"/>
  <c r="R51" i="8"/>
  <c r="N56" i="8"/>
  <c r="R59" i="8"/>
  <c r="N64" i="8"/>
  <c r="M21" i="8"/>
  <c r="M29" i="8"/>
  <c r="M37" i="8"/>
  <c r="M45" i="8"/>
  <c r="M53" i="8"/>
  <c r="M61" i="8"/>
  <c r="L19" i="8"/>
  <c r="N19" i="8"/>
  <c r="L32" i="8"/>
  <c r="L29" i="8"/>
  <c r="N32" i="8"/>
  <c r="E10" i="7"/>
  <c r="L36" i="7"/>
  <c r="M18" i="7"/>
  <c r="L33" i="7"/>
  <c r="L15" i="7"/>
  <c r="L18" i="7"/>
  <c r="J18" i="7"/>
  <c r="M15" i="7"/>
  <c r="L20" i="7"/>
  <c r="R25" i="7"/>
  <c r="M25" i="7"/>
  <c r="N25" i="7"/>
  <c r="N15" i="7"/>
  <c r="N46" i="7"/>
  <c r="N18" i="7"/>
  <c r="L23" i="7"/>
  <c r="L26" i="7"/>
  <c r="J26" i="7"/>
  <c r="R57" i="7"/>
  <c r="N57" i="7"/>
  <c r="L57" i="7"/>
  <c r="M57" i="7"/>
  <c r="M23" i="7"/>
  <c r="R60" i="7"/>
  <c r="N60" i="7"/>
  <c r="M28" i="7"/>
  <c r="L41" i="7"/>
  <c r="R41" i="7"/>
  <c r="N41" i="7"/>
  <c r="M41" i="7"/>
  <c r="L58" i="7"/>
  <c r="J58" i="7"/>
  <c r="L60" i="7"/>
  <c r="N21" i="7"/>
  <c r="L50" i="7"/>
  <c r="J50" i="7"/>
  <c r="L63" i="7"/>
  <c r="N26" i="7"/>
  <c r="L34" i="7"/>
  <c r="J34" i="7"/>
  <c r="L42" i="7"/>
  <c r="J42" i="7"/>
  <c r="L44" i="7"/>
  <c r="L47" i="7"/>
  <c r="M55" i="7"/>
  <c r="N63" i="7"/>
  <c r="N31" i="7"/>
  <c r="L39" i="7"/>
  <c r="M47" i="7"/>
  <c r="N53" i="7"/>
  <c r="L53" i="7"/>
  <c r="J53" i="7"/>
  <c r="N55" i="7"/>
  <c r="N58" i="7"/>
  <c r="N29" i="7"/>
  <c r="L37" i="7"/>
  <c r="J37" i="7"/>
  <c r="M39" i="7"/>
  <c r="L45" i="7"/>
  <c r="J45" i="7"/>
  <c r="N47" i="7"/>
  <c r="N50" i="7"/>
  <c r="N61" i="7"/>
  <c r="N34" i="7"/>
  <c r="N39" i="7"/>
  <c r="N42" i="7"/>
  <c r="M17" i="7"/>
  <c r="R17" i="7"/>
  <c r="E8" i="7"/>
  <c r="H5" i="7" s="1"/>
  <c r="H6" i="7" s="1"/>
  <c r="N37" i="7"/>
  <c r="N45" i="7"/>
  <c r="M20" i="7"/>
  <c r="L25" i="7"/>
  <c r="L30" i="7"/>
  <c r="N20" i="7"/>
  <c r="L21" i="7"/>
  <c r="J21" i="7"/>
  <c r="L28" i="7"/>
  <c r="R33" i="7"/>
  <c r="N33" i="7"/>
  <c r="M33" i="7"/>
  <c r="R49" i="7"/>
  <c r="M49" i="7"/>
  <c r="N49" i="7"/>
  <c r="L49" i="7"/>
  <c r="N23" i="7"/>
  <c r="R52" i="7"/>
  <c r="N52" i="7"/>
  <c r="N28" i="7"/>
  <c r="R36" i="7"/>
  <c r="N36" i="7"/>
  <c r="N44" i="7"/>
  <c r="R44" i="7"/>
  <c r="L52" i="7"/>
  <c r="M60" i="7"/>
  <c r="L31" i="7"/>
  <c r="M52" i="7"/>
  <c r="L55" i="7"/>
  <c r="M63" i="7"/>
  <c r="L29" i="7"/>
  <c r="J29" i="7"/>
  <c r="M31" i="7"/>
  <c r="M36" i="7"/>
  <c r="L61" i="7"/>
  <c r="J61" i="7"/>
  <c r="L17" i="7"/>
  <c r="N17" i="7" s="1"/>
  <c r="N22" i="7"/>
  <c r="L38" i="7"/>
  <c r="L46" i="7"/>
  <c r="L54" i="7"/>
  <c r="M22" i="7"/>
  <c r="M30" i="7"/>
  <c r="M38" i="7"/>
  <c r="M46" i="7"/>
  <c r="M54" i="7"/>
  <c r="L27" i="7"/>
  <c r="N30" i="7"/>
  <c r="L35" i="7"/>
  <c r="N38" i="7"/>
  <c r="L51" i="7"/>
  <c r="N54" i="7"/>
  <c r="N62" i="7"/>
  <c r="L16" i="7"/>
  <c r="N16" i="7" s="1"/>
  <c r="R22" i="7"/>
  <c r="L24" i="7"/>
  <c r="N27" i="7"/>
  <c r="R30" i="7"/>
  <c r="L32" i="7"/>
  <c r="N35" i="7"/>
  <c r="L40" i="7"/>
  <c r="N43" i="7"/>
  <c r="R46" i="7"/>
  <c r="L48" i="7"/>
  <c r="N51" i="7"/>
  <c r="L56" i="7"/>
  <c r="N59" i="7"/>
  <c r="R62" i="7"/>
  <c r="L64" i="7"/>
  <c r="M16" i="7"/>
  <c r="M24" i="7"/>
  <c r="M32" i="7"/>
  <c r="M40" i="7"/>
  <c r="M48" i="7"/>
  <c r="M56" i="7"/>
  <c r="M64" i="7"/>
  <c r="N64" i="7"/>
  <c r="L22" i="7"/>
  <c r="L62" i="7"/>
  <c r="M51" i="7"/>
  <c r="N24" i="7"/>
  <c r="M21" i="7"/>
  <c r="M29" i="7"/>
  <c r="M37" i="7"/>
  <c r="M45" i="7"/>
  <c r="M61" i="7"/>
  <c r="L19" i="7"/>
  <c r="N19" i="7" s="1"/>
  <c r="L43" i="7"/>
  <c r="L59" i="7"/>
  <c r="M19" i="7"/>
  <c r="M27" i="7"/>
  <c r="M35" i="7"/>
  <c r="M43" i="7"/>
  <c r="M59" i="7"/>
  <c r="N32" i="7"/>
  <c r="N40" i="7"/>
  <c r="N48" i="7"/>
  <c r="N56" i="7"/>
  <c r="M34" i="6"/>
  <c r="M62" i="6"/>
  <c r="M22" i="6"/>
  <c r="M42" i="6"/>
  <c r="M26" i="6"/>
  <c r="M46" i="6"/>
  <c r="M58" i="6"/>
  <c r="L28" i="6"/>
  <c r="M38" i="6"/>
  <c r="M50" i="6"/>
  <c r="M30" i="6"/>
  <c r="L54" i="6"/>
  <c r="L44" i="6"/>
  <c r="M54" i="6"/>
  <c r="L18" i="6"/>
  <c r="N18" i="6" s="1"/>
  <c r="M18" i="6"/>
  <c r="M15" i="6"/>
  <c r="E8" i="6"/>
  <c r="H5" i="6" s="1"/>
  <c r="H6" i="6" s="1"/>
  <c r="L62" i="6"/>
  <c r="N62" i="6"/>
  <c r="L47" i="6"/>
  <c r="N54" i="6"/>
  <c r="J22" i="6"/>
  <c r="N22" i="6"/>
  <c r="J30" i="6"/>
  <c r="N30" i="6"/>
  <c r="J38" i="6"/>
  <c r="N38" i="6"/>
  <c r="N57" i="6"/>
  <c r="L22" i="6"/>
  <c r="N58" i="6"/>
  <c r="N45" i="6"/>
  <c r="L38" i="6"/>
  <c r="M59" i="6"/>
  <c r="R59" i="6"/>
  <c r="N59" i="6"/>
  <c r="L23" i="6"/>
  <c r="N33" i="6"/>
  <c r="L46" i="6"/>
  <c r="M23" i="6"/>
  <c r="N21" i="6"/>
  <c r="N23" i="6"/>
  <c r="L26" i="6"/>
  <c r="R36" i="6"/>
  <c r="N36" i="6"/>
  <c r="M36" i="6"/>
  <c r="N46" i="6"/>
  <c r="N41" i="6"/>
  <c r="N49" i="6"/>
  <c r="N26" i="6"/>
  <c r="M31" i="6"/>
  <c r="R60" i="6"/>
  <c r="N60" i="6"/>
  <c r="M60" i="6"/>
  <c r="L60" i="6"/>
  <c r="N29" i="6"/>
  <c r="L34" i="6"/>
  <c r="R52" i="6"/>
  <c r="N52" i="6"/>
  <c r="M52" i="6"/>
  <c r="L52" i="6"/>
  <c r="M19" i="6"/>
  <c r="R19" i="6"/>
  <c r="N19" i="6"/>
  <c r="R55" i="6"/>
  <c r="N55" i="6"/>
  <c r="L63" i="6"/>
  <c r="L19" i="6"/>
  <c r="M39" i="6"/>
  <c r="L55" i="6"/>
  <c r="N37" i="6"/>
  <c r="N39" i="6"/>
  <c r="L42" i="6"/>
  <c r="L50" i="6"/>
  <c r="M55" i="6"/>
  <c r="N27" i="6"/>
  <c r="M27" i="6"/>
  <c r="R27" i="6"/>
  <c r="N61" i="6"/>
  <c r="L27" i="6"/>
  <c r="N42" i="6"/>
  <c r="R20" i="6"/>
  <c r="N20" i="6"/>
  <c r="M20" i="6"/>
  <c r="R35" i="6"/>
  <c r="N35" i="6"/>
  <c r="M35" i="6"/>
  <c r="R28" i="6"/>
  <c r="N28" i="6"/>
  <c r="M28" i="6"/>
  <c r="M43" i="6"/>
  <c r="R43" i="6"/>
  <c r="N43" i="6"/>
  <c r="R51" i="6"/>
  <c r="N51" i="6"/>
  <c r="M51" i="6"/>
  <c r="L59" i="6"/>
  <c r="L43" i="6"/>
  <c r="L51" i="6"/>
  <c r="L31" i="6"/>
  <c r="L36" i="6"/>
  <c r="N31" i="6"/>
  <c r="R44" i="6"/>
  <c r="N44" i="6"/>
  <c r="M44" i="6"/>
  <c r="R63" i="6"/>
  <c r="N63" i="6"/>
  <c r="L39" i="6"/>
  <c r="N34" i="6"/>
  <c r="R47" i="6"/>
  <c r="N47" i="6"/>
  <c r="L58" i="6"/>
  <c r="M47" i="6"/>
  <c r="N50" i="6"/>
  <c r="N53" i="6"/>
  <c r="L30" i="6"/>
  <c r="L15" i="6"/>
  <c r="N15" i="6" s="1"/>
  <c r="L20" i="6"/>
  <c r="N25" i="6"/>
  <c r="L35" i="6"/>
  <c r="L17" i="6"/>
  <c r="N17" i="6" s="1"/>
  <c r="L25" i="6"/>
  <c r="L33" i="6"/>
  <c r="L41" i="6"/>
  <c r="L49" i="6"/>
  <c r="L57" i="6"/>
  <c r="M17" i="6"/>
  <c r="M25" i="6"/>
  <c r="M33" i="6"/>
  <c r="M41" i="6"/>
  <c r="M49" i="6"/>
  <c r="M57" i="6"/>
  <c r="L16" i="6"/>
  <c r="N16" i="6" s="1"/>
  <c r="L24" i="6"/>
  <c r="L32" i="6"/>
  <c r="L40" i="6"/>
  <c r="L48" i="6"/>
  <c r="L56" i="6"/>
  <c r="L64" i="6"/>
  <c r="M16" i="6"/>
  <c r="M24" i="6"/>
  <c r="M32" i="6"/>
  <c r="M40" i="6"/>
  <c r="M48" i="6"/>
  <c r="M56" i="6"/>
  <c r="M64" i="6"/>
  <c r="N24" i="6"/>
  <c r="L29" i="6"/>
  <c r="N32" i="6"/>
  <c r="L37" i="6"/>
  <c r="N40" i="6"/>
  <c r="L45" i="6"/>
  <c r="N48" i="6"/>
  <c r="L53" i="6"/>
  <c r="N56" i="6"/>
  <c r="L61" i="6"/>
  <c r="N64" i="6"/>
  <c r="M21" i="6"/>
  <c r="M29" i="6"/>
  <c r="M37" i="6"/>
  <c r="M45" i="6"/>
  <c r="M53" i="6"/>
  <c r="M61" i="6"/>
  <c r="L21" i="6"/>
  <c r="L53" i="5"/>
  <c r="N22" i="5"/>
  <c r="N56" i="5"/>
  <c r="N42" i="5"/>
  <c r="N32" i="5"/>
  <c r="N46" i="5"/>
  <c r="E8" i="5"/>
  <c r="H5" i="5" s="1"/>
  <c r="H6" i="5" s="1"/>
  <c r="M19" i="5"/>
  <c r="N35" i="5"/>
  <c r="J35" i="5"/>
  <c r="L45" i="5"/>
  <c r="N59" i="5"/>
  <c r="J59" i="5"/>
  <c r="J29" i="5"/>
  <c r="N29" i="5"/>
  <c r="N62" i="5"/>
  <c r="J45" i="5"/>
  <c r="N45" i="5"/>
  <c r="J19" i="5"/>
  <c r="L29" i="5"/>
  <c r="J53" i="5"/>
  <c r="N53" i="5"/>
  <c r="N48" i="5"/>
  <c r="N63" i="5"/>
  <c r="N27" i="5"/>
  <c r="J27" i="5"/>
  <c r="N26" i="5"/>
  <c r="L37" i="5"/>
  <c r="J61" i="5"/>
  <c r="N61" i="5"/>
  <c r="N43" i="5"/>
  <c r="J43" i="5"/>
  <c r="N51" i="5"/>
  <c r="J51" i="5"/>
  <c r="N38" i="5"/>
  <c r="J37" i="5"/>
  <c r="N37" i="5"/>
  <c r="N30" i="5"/>
  <c r="N40" i="5"/>
  <c r="J21" i="5"/>
  <c r="N21" i="5"/>
  <c r="N54" i="5"/>
  <c r="L61" i="5"/>
  <c r="L42" i="5"/>
  <c r="L50" i="5"/>
  <c r="L58" i="5"/>
  <c r="L15" i="5"/>
  <c r="N15" i="5" s="1"/>
  <c r="L23" i="5"/>
  <c r="L31" i="5"/>
  <c r="N50" i="5"/>
  <c r="L55" i="5"/>
  <c r="N58" i="5"/>
  <c r="M47" i="5"/>
  <c r="L20" i="5"/>
  <c r="L36" i="5"/>
  <c r="N39" i="5"/>
  <c r="R42" i="5"/>
  <c r="R50" i="5"/>
  <c r="M28" i="5"/>
  <c r="M36" i="5"/>
  <c r="M44" i="5"/>
  <c r="M52" i="5"/>
  <c r="M60" i="5"/>
  <c r="L26" i="5"/>
  <c r="M26" i="5"/>
  <c r="M34" i="5"/>
  <c r="M58" i="5"/>
  <c r="N34" i="5"/>
  <c r="L47" i="5"/>
  <c r="M15" i="5"/>
  <c r="M63" i="5"/>
  <c r="R18" i="5"/>
  <c r="N23" i="5"/>
  <c r="L28" i="5"/>
  <c r="N31" i="5"/>
  <c r="R34" i="5"/>
  <c r="L44" i="5"/>
  <c r="N47" i="5"/>
  <c r="L52" i="5"/>
  <c r="N55" i="5"/>
  <c r="L60" i="5"/>
  <c r="L17" i="5"/>
  <c r="N17" i="5" s="1"/>
  <c r="N20" i="5"/>
  <c r="R23" i="5"/>
  <c r="L25" i="5"/>
  <c r="N28" i="5"/>
  <c r="R31" i="5"/>
  <c r="L33" i="5"/>
  <c r="N36" i="5"/>
  <c r="R39" i="5"/>
  <c r="L41" i="5"/>
  <c r="N44" i="5"/>
  <c r="L49" i="5"/>
  <c r="N52" i="5"/>
  <c r="R55" i="5"/>
  <c r="L57" i="5"/>
  <c r="N60" i="5"/>
  <c r="R63" i="5"/>
  <c r="M42" i="5"/>
  <c r="L39" i="5"/>
  <c r="L63" i="5"/>
  <c r="R26" i="5"/>
  <c r="M20" i="5"/>
  <c r="M17" i="5"/>
  <c r="M25" i="5"/>
  <c r="M33" i="5"/>
  <c r="M41" i="5"/>
  <c r="M49" i="5"/>
  <c r="M57" i="5"/>
  <c r="L22" i="5"/>
  <c r="N25" i="5"/>
  <c r="L30" i="5"/>
  <c r="N33" i="5"/>
  <c r="L38" i="5"/>
  <c r="N41" i="5"/>
  <c r="L46" i="5"/>
  <c r="N49" i="5"/>
  <c r="L54" i="5"/>
  <c r="N57" i="5"/>
  <c r="L62" i="5"/>
  <c r="M62" i="5"/>
  <c r="M18" i="5"/>
  <c r="L19" i="5"/>
  <c r="N19" i="5" s="1"/>
  <c r="L27" i="5"/>
  <c r="L35" i="5"/>
  <c r="L43" i="5"/>
  <c r="L51" i="5"/>
  <c r="L59" i="5"/>
  <c r="L64" i="5"/>
  <c r="L18" i="5"/>
  <c r="N18" i="5" s="1"/>
  <c r="M16" i="5"/>
  <c r="M24" i="5"/>
  <c r="M40" i="5"/>
  <c r="M48" i="5"/>
  <c r="M64" i="5"/>
  <c r="L16" i="5"/>
  <c r="N16" i="5" s="1"/>
  <c r="L24" i="5"/>
  <c r="L32" i="5"/>
  <c r="L40" i="5"/>
  <c r="L48" i="5"/>
  <c r="L56" i="5"/>
  <c r="M32" i="5"/>
  <c r="M56" i="5"/>
  <c r="N64" i="5"/>
  <c r="N33" i="4"/>
  <c r="J33" i="4"/>
  <c r="J17" i="4"/>
  <c r="J25" i="4"/>
  <c r="N25" i="4"/>
  <c r="N55" i="4"/>
  <c r="M55" i="4"/>
  <c r="L55" i="4"/>
  <c r="R55" i="4"/>
  <c r="M23" i="4"/>
  <c r="N23" i="4"/>
  <c r="R23" i="4"/>
  <c r="N26" i="4"/>
  <c r="N50" i="4"/>
  <c r="J50" i="4"/>
  <c r="N37" i="4"/>
  <c r="N42" i="4"/>
  <c r="J42" i="4"/>
  <c r="N29" i="4"/>
  <c r="N35" i="4"/>
  <c r="L23" i="4"/>
  <c r="N30" i="4"/>
  <c r="L30" i="4"/>
  <c r="J30" i="4"/>
  <c r="N39" i="4"/>
  <c r="M39" i="4"/>
  <c r="L39" i="4"/>
  <c r="R39" i="4"/>
  <c r="M31" i="4"/>
  <c r="N31" i="4"/>
  <c r="R31" i="4"/>
  <c r="N41" i="4"/>
  <c r="J41" i="4"/>
  <c r="N62" i="4"/>
  <c r="L62" i="4"/>
  <c r="J62" i="4"/>
  <c r="L42" i="4"/>
  <c r="N46" i="4"/>
  <c r="L46" i="4"/>
  <c r="J46" i="4"/>
  <c r="L26" i="4"/>
  <c r="N49" i="4"/>
  <c r="J49" i="4"/>
  <c r="N53" i="4"/>
  <c r="L18" i="4"/>
  <c r="N21" i="4"/>
  <c r="M15" i="4"/>
  <c r="R15" i="4"/>
  <c r="N43" i="4"/>
  <c r="L50" i="4"/>
  <c r="N57" i="4"/>
  <c r="J57" i="4"/>
  <c r="M63" i="4"/>
  <c r="L63" i="4"/>
  <c r="R63" i="4"/>
  <c r="N63" i="4"/>
  <c r="L15" i="4"/>
  <c r="N15" i="4" s="1"/>
  <c r="N18" i="4"/>
  <c r="J34" i="4"/>
  <c r="N34" i="4"/>
  <c r="N54" i="4"/>
  <c r="L54" i="4"/>
  <c r="J54" i="4"/>
  <c r="N22" i="4"/>
  <c r="L22" i="4"/>
  <c r="J22" i="4"/>
  <c r="L34" i="4"/>
  <c r="M47" i="4"/>
  <c r="L47" i="4"/>
  <c r="N47" i="4"/>
  <c r="R47" i="4"/>
  <c r="L31" i="4"/>
  <c r="N38" i="4"/>
  <c r="L38" i="4"/>
  <c r="J38" i="4"/>
  <c r="J58" i="4"/>
  <c r="N58" i="4"/>
  <c r="N61" i="4"/>
  <c r="N19" i="4"/>
  <c r="L60" i="4"/>
  <c r="M20" i="4"/>
  <c r="M28" i="4"/>
  <c r="M36" i="4"/>
  <c r="M44" i="4"/>
  <c r="M52" i="4"/>
  <c r="M60" i="4"/>
  <c r="L17" i="4"/>
  <c r="N17" i="4" s="1"/>
  <c r="N20" i="4"/>
  <c r="L25" i="4"/>
  <c r="N28" i="4"/>
  <c r="L33" i="4"/>
  <c r="N36" i="4"/>
  <c r="L41" i="4"/>
  <c r="N44" i="4"/>
  <c r="L49" i="4"/>
  <c r="N52" i="4"/>
  <c r="L57" i="4"/>
  <c r="N60" i="4"/>
  <c r="H7" i="4"/>
  <c r="M17" i="4"/>
  <c r="M25" i="4"/>
  <c r="M33" i="4"/>
  <c r="M41" i="4"/>
  <c r="M49" i="4"/>
  <c r="L20" i="4"/>
  <c r="L28" i="4"/>
  <c r="L52" i="4"/>
  <c r="L24" i="4"/>
  <c r="N51" i="4"/>
  <c r="M64" i="4"/>
  <c r="L27" i="4"/>
  <c r="L43" i="4"/>
  <c r="N27" i="4"/>
  <c r="M32" i="4"/>
  <c r="R19" i="4"/>
  <c r="L21" i="4"/>
  <c r="N24" i="4"/>
  <c r="R27" i="4"/>
  <c r="L29" i="4"/>
  <c r="N32" i="4"/>
  <c r="R35" i="4"/>
  <c r="L37" i="4"/>
  <c r="N40" i="4"/>
  <c r="R43" i="4"/>
  <c r="L45" i="4"/>
  <c r="N48" i="4"/>
  <c r="R51" i="4"/>
  <c r="L53" i="4"/>
  <c r="N56" i="4"/>
  <c r="R59" i="4"/>
  <c r="L61" i="4"/>
  <c r="N64" i="4"/>
  <c r="L19" i="4"/>
  <c r="L35" i="4"/>
  <c r="L59" i="4"/>
  <c r="M19" i="4"/>
  <c r="M35" i="4"/>
  <c r="L16" i="4"/>
  <c r="N16" i="4" s="1"/>
  <c r="L32" i="4"/>
  <c r="L40" i="4"/>
  <c r="L56" i="4"/>
  <c r="N59" i="4"/>
  <c r="L64" i="4"/>
  <c r="M48" i="4"/>
  <c r="M56" i="4"/>
  <c r="M29" i="4"/>
  <c r="M45" i="4"/>
  <c r="M53" i="4"/>
  <c r="M61" i="4"/>
  <c r="L36" i="4"/>
  <c r="L44" i="4"/>
  <c r="L51" i="4"/>
  <c r="M43" i="4"/>
  <c r="L48" i="4"/>
  <c r="M16" i="4"/>
  <c r="M24" i="4"/>
  <c r="M40" i="4"/>
  <c r="M21" i="4"/>
  <c r="M37" i="4"/>
  <c r="M19" i="3"/>
  <c r="M16" i="3"/>
  <c r="N23" i="3"/>
  <c r="M17" i="3"/>
  <c r="J16" i="3"/>
  <c r="L16" i="3"/>
  <c r="N16" i="3" s="1"/>
  <c r="N21" i="3"/>
  <c r="N53" i="3"/>
  <c r="J18" i="3"/>
  <c r="L18" i="3"/>
  <c r="N18" i="3" s="1"/>
  <c r="J19" i="3"/>
  <c r="L19" i="3"/>
  <c r="N19" i="3"/>
  <c r="J17" i="3"/>
  <c r="L17" i="3"/>
  <c r="N17" i="3" s="1"/>
  <c r="L15" i="3"/>
  <c r="N15" i="3" s="1"/>
  <c r="J15" i="3"/>
  <c r="H5" i="3"/>
  <c r="H6" i="3" s="1"/>
  <c r="R16" i="3"/>
  <c r="N61" i="3"/>
  <c r="N29" i="3"/>
  <c r="L50" i="3"/>
  <c r="L26" i="3"/>
  <c r="L58" i="3"/>
  <c r="L34" i="3"/>
  <c r="N45" i="3"/>
  <c r="N37" i="3"/>
  <c r="L42" i="3"/>
  <c r="M43" i="3"/>
  <c r="M58" i="3"/>
  <c r="R21" i="3"/>
  <c r="L23" i="3"/>
  <c r="N26" i="3"/>
  <c r="R29" i="3"/>
  <c r="L31" i="3"/>
  <c r="N34" i="3"/>
  <c r="R37" i="3"/>
  <c r="L39" i="3"/>
  <c r="N42" i="3"/>
  <c r="R45" i="3"/>
  <c r="L47" i="3"/>
  <c r="N50" i="3"/>
  <c r="R53" i="3"/>
  <c r="L55" i="3"/>
  <c r="N58" i="3"/>
  <c r="R61" i="3"/>
  <c r="L63" i="3"/>
  <c r="M63" i="3"/>
  <c r="R18" i="3"/>
  <c r="L20" i="3"/>
  <c r="R26" i="3"/>
  <c r="L28" i="3"/>
  <c r="N31" i="3"/>
  <c r="R34" i="3"/>
  <c r="L36" i="3"/>
  <c r="N39" i="3"/>
  <c r="R42" i="3"/>
  <c r="L44" i="3"/>
  <c r="N47" i="3"/>
  <c r="R50" i="3"/>
  <c r="L52" i="3"/>
  <c r="N55" i="3"/>
  <c r="R58" i="3"/>
  <c r="L60" i="3"/>
  <c r="N63" i="3"/>
  <c r="M20" i="3"/>
  <c r="M28" i="3"/>
  <c r="M36" i="3"/>
  <c r="M44" i="3"/>
  <c r="M52" i="3"/>
  <c r="M60" i="3"/>
  <c r="N20" i="3"/>
  <c r="L25" i="3"/>
  <c r="N28" i="3"/>
  <c r="L33" i="3"/>
  <c r="N36" i="3"/>
  <c r="L41" i="3"/>
  <c r="N44" i="3"/>
  <c r="L49" i="3"/>
  <c r="N52" i="3"/>
  <c r="L57" i="3"/>
  <c r="N60" i="3"/>
  <c r="L22" i="3"/>
  <c r="N25" i="3"/>
  <c r="L30" i="3"/>
  <c r="N33" i="3"/>
  <c r="L38" i="3"/>
  <c r="N41" i="3"/>
  <c r="L46" i="3"/>
  <c r="N49" i="3"/>
  <c r="L54" i="3"/>
  <c r="N57" i="3"/>
  <c r="L62" i="3"/>
  <c r="M62" i="3"/>
  <c r="N22" i="3"/>
  <c r="L27" i="3"/>
  <c r="N30" i="3"/>
  <c r="L35" i="3"/>
  <c r="N38" i="3"/>
  <c r="L43" i="3"/>
  <c r="N46" i="3"/>
  <c r="L51" i="3"/>
  <c r="N54" i="3"/>
  <c r="L59" i="3"/>
  <c r="N62" i="3"/>
  <c r="R22" i="3"/>
  <c r="L24" i="3"/>
  <c r="N27" i="3"/>
  <c r="L32" i="3"/>
  <c r="N35" i="3"/>
  <c r="L40" i="3"/>
  <c r="N43" i="3"/>
  <c r="L48" i="3"/>
  <c r="N51" i="3"/>
  <c r="L56" i="3"/>
  <c r="N59" i="3"/>
  <c r="L64" i="3"/>
  <c r="M64" i="3"/>
  <c r="M24" i="3"/>
  <c r="M32" i="3"/>
  <c r="M40" i="3"/>
  <c r="M48" i="3"/>
  <c r="M56" i="3"/>
  <c r="L21" i="3"/>
  <c r="N24" i="3"/>
  <c r="R27" i="3"/>
  <c r="L29" i="3"/>
  <c r="N32" i="3"/>
  <c r="R35" i="3"/>
  <c r="L37" i="3"/>
  <c r="N40" i="3"/>
  <c r="L45" i="3"/>
  <c r="N48" i="3"/>
  <c r="R51" i="3"/>
  <c r="L53" i="3"/>
  <c r="N56" i="3"/>
  <c r="R59" i="3"/>
  <c r="L61" i="3"/>
  <c r="N64" i="3"/>
  <c r="M61" i="3"/>
  <c r="M21" i="3"/>
  <c r="M29" i="3"/>
  <c r="M37" i="3"/>
  <c r="M45" i="3"/>
  <c r="M53" i="3"/>
  <c r="H5" i="1"/>
  <c r="H6" i="1" s="1"/>
  <c r="M15" i="1"/>
  <c r="N21" i="1"/>
  <c r="N29" i="1"/>
  <c r="L18" i="1"/>
  <c r="N18" i="1" s="1"/>
  <c r="N37" i="1"/>
  <c r="N61" i="1"/>
  <c r="L50" i="1"/>
  <c r="L26" i="1"/>
  <c r="L58" i="1"/>
  <c r="N45" i="1"/>
  <c r="L34" i="1"/>
  <c r="M34" i="1"/>
  <c r="M50" i="1"/>
  <c r="M21" i="1"/>
  <c r="M18" i="1"/>
  <c r="M26" i="1"/>
  <c r="M42" i="1"/>
  <c r="M58" i="1"/>
  <c r="L15" i="1"/>
  <c r="R21" i="1"/>
  <c r="L23" i="1"/>
  <c r="N26" i="1"/>
  <c r="R29" i="1"/>
  <c r="L31" i="1"/>
  <c r="N34" i="1"/>
  <c r="R37" i="1"/>
  <c r="L39" i="1"/>
  <c r="N42" i="1"/>
  <c r="R45" i="1"/>
  <c r="L47" i="1"/>
  <c r="N50" i="1"/>
  <c r="R53" i="1"/>
  <c r="L55" i="1"/>
  <c r="N58" i="1"/>
  <c r="R61" i="1"/>
  <c r="L63" i="1"/>
  <c r="M63" i="1"/>
  <c r="N15" i="1"/>
  <c r="R18" i="1"/>
  <c r="L20" i="1"/>
  <c r="N23" i="1"/>
  <c r="R26" i="1"/>
  <c r="L28" i="1"/>
  <c r="N31" i="1"/>
  <c r="R34" i="1"/>
  <c r="L36" i="1"/>
  <c r="N39" i="1"/>
  <c r="R42" i="1"/>
  <c r="L44" i="1"/>
  <c r="N47" i="1"/>
  <c r="R50" i="1"/>
  <c r="L52" i="1"/>
  <c r="N55" i="1"/>
  <c r="R58" i="1"/>
  <c r="L60" i="1"/>
  <c r="N63" i="1"/>
  <c r="M44" i="1"/>
  <c r="M52" i="1"/>
  <c r="M60" i="1"/>
  <c r="M20" i="1"/>
  <c r="M28" i="1"/>
  <c r="M36" i="1"/>
  <c r="L17" i="1"/>
  <c r="N17" i="1" s="1"/>
  <c r="N20" i="1"/>
  <c r="L25" i="1"/>
  <c r="N28" i="1"/>
  <c r="L33" i="1"/>
  <c r="N36" i="1"/>
  <c r="L41" i="1"/>
  <c r="N44" i="1"/>
  <c r="L49" i="1"/>
  <c r="N52" i="1"/>
  <c r="L57" i="1"/>
  <c r="N60" i="1"/>
  <c r="M17" i="1"/>
  <c r="M57" i="1"/>
  <c r="M25" i="1"/>
  <c r="M33" i="1"/>
  <c r="M41" i="1"/>
  <c r="M49" i="1"/>
  <c r="L22" i="1"/>
  <c r="N25" i="1"/>
  <c r="L30" i="1"/>
  <c r="N33" i="1"/>
  <c r="L38" i="1"/>
  <c r="N41" i="1"/>
  <c r="L46" i="1"/>
  <c r="N49" i="1"/>
  <c r="L54" i="1"/>
  <c r="N57" i="1"/>
  <c r="L62" i="1"/>
  <c r="M62" i="1"/>
  <c r="M54" i="1"/>
  <c r="L19" i="1"/>
  <c r="N19" i="1" s="1"/>
  <c r="N22" i="1"/>
  <c r="L27" i="1"/>
  <c r="N30" i="1"/>
  <c r="L35" i="1"/>
  <c r="N38" i="1"/>
  <c r="L43" i="1"/>
  <c r="N46" i="1"/>
  <c r="L51" i="1"/>
  <c r="N54" i="1"/>
  <c r="L59" i="1"/>
  <c r="N62" i="1"/>
  <c r="M19" i="1"/>
  <c r="M27" i="1"/>
  <c r="M35" i="1"/>
  <c r="M43" i="1"/>
  <c r="M51" i="1"/>
  <c r="M59" i="1"/>
  <c r="L16" i="1"/>
  <c r="N16" i="1" s="1"/>
  <c r="L24" i="1"/>
  <c r="N27" i="1"/>
  <c r="L32" i="1"/>
  <c r="N35" i="1"/>
  <c r="L40" i="1"/>
  <c r="N43" i="1"/>
  <c r="L48" i="1"/>
  <c r="N51" i="1"/>
  <c r="L56" i="1"/>
  <c r="N59" i="1"/>
  <c r="L64" i="1"/>
  <c r="M64" i="1"/>
  <c r="L21" i="1"/>
  <c r="N24" i="1"/>
  <c r="L29" i="1"/>
  <c r="N32" i="1"/>
  <c r="L37" i="1"/>
  <c r="N40" i="1"/>
  <c r="L45" i="1"/>
  <c r="N48" i="1"/>
  <c r="L53" i="1"/>
  <c r="N56" i="1"/>
  <c r="L61" i="1"/>
  <c r="N64" i="1"/>
  <c r="M29" i="1"/>
  <c r="M45" i="1"/>
  <c r="M61" i="1"/>
  <c r="M37" i="1"/>
  <c r="M53" i="1"/>
  <c r="H5" i="10" l="1"/>
  <c r="H6" i="10" s="1"/>
  <c r="H5" i="9"/>
  <c r="H6" i="9" s="1"/>
</calcChain>
</file>

<file path=xl/sharedStrings.xml><?xml version="1.0" encoding="utf-8"?>
<sst xmlns="http://schemas.openxmlformats.org/spreadsheetml/2006/main" count="618" uniqueCount="61">
  <si>
    <t>Curvature → Raw Steering Feedforward Calibration</t>
  </si>
  <si>
    <t>Setup</t>
  </si>
  <si>
    <t>Value</t>
  </si>
  <si>
    <t>Next Trial Interpolation</t>
  </si>
  <si>
    <t>Steering centre raw command</t>
  </si>
  <si>
    <t>Input / Output</t>
  </si>
  <si>
    <t>Suggested next trial</t>
  </si>
  <si>
    <t>Default test distance (mm)</t>
  </si>
  <si>
    <t>Under-turn trial #</t>
  </si>
  <si>
    <t>Interpolated raw command</t>
  </si>
  <si>
    <t>Default speed (CPS)</t>
  </si>
  <si>
    <t>Over-turn trial #</t>
  </si>
  <si>
    <t>Rounded command (0.1)</t>
  </si>
  <si>
    <t>Active target radius (mm)</t>
  </si>
  <si>
    <t>Under raw command</t>
  </si>
  <si>
    <t>Target curvature</t>
  </si>
  <si>
    <t>Active target curvature (1/mm)</t>
  </si>
  <si>
    <t>Under measured curvature</t>
  </si>
  <si>
    <t>Target ideal yaw @ default distance</t>
  </si>
  <si>
    <t>Accept tolerance (fraction)</t>
  </si>
  <si>
    <t>Over raw command</t>
  </si>
  <si>
    <t>Over measured curvature</t>
  </si>
  <si>
    <t>Enter one UNDER-turn and one OVER-turn trial that bracket the target. The suggested raw command is linearly interpolated between the measured points.</t>
  </si>
  <si>
    <t>Trial #</t>
  </si>
  <si>
    <t>Timestamp / label</t>
  </si>
  <si>
    <t>Battery (V)</t>
  </si>
  <si>
    <t>Target radius (mm)</t>
  </si>
  <si>
    <t>Target curvature (1/mm)</t>
  </si>
  <si>
    <t>Fixed raw command</t>
  </si>
  <si>
    <t>Offset from centre</t>
  </si>
  <si>
    <t>Travel (mm)</t>
  </si>
  <si>
    <t>Final yaw (deg)</t>
  </si>
  <si>
    <t>Ideal yaw (deg)</t>
  </si>
  <si>
    <t>Measured curvature (1/mm)</t>
  </si>
  <si>
    <t>Curvature error (%)</t>
  </si>
  <si>
    <t>Equivalent radius (mm)</t>
  </si>
  <si>
    <t>Result</t>
  </si>
  <si>
    <t>Notes</t>
  </si>
  <si>
    <t>Raw command</t>
  </si>
  <si>
    <t>|Measured curvature| ×1000</t>
  </si>
  <si>
    <t>How to Use the Feedforward Calibration Workbook</t>
  </si>
  <si>
    <t>Step</t>
  </si>
  <si>
    <t>What to do</t>
  </si>
  <si>
    <t>Interpolation Formula</t>
  </si>
  <si>
    <t>1</t>
  </si>
  <si>
    <t>Set the active target radius on Calibration!B7. Target curvature is calculated automatically.</t>
  </si>
  <si>
    <t>u* = u_under + (κ_target − κ_under) / (κ_over − κ_under) × (u_over − u_under)
Use measured curvature rather than yaw when travelled distances differ.</t>
  </si>
  <si>
    <t>2</t>
  </si>
  <si>
    <t>For each run, enter timestamp/label, battery voltage, fixed ABSOLUTE raw steering command, travelled distance, and final IMU yaw.</t>
  </si>
  <si>
    <t>3</t>
  </si>
  <si>
    <t>Ideal yaw, measured curvature, curvature error, equivalent radius, and UNDER / OVER / ACCEPT are calculated automatically.</t>
  </si>
  <si>
    <t>4</t>
  </si>
  <si>
    <t>When one UNDER and one OVER trial bracket the target, enter their trial numbers in Calibration!E5 and E6.</t>
  </si>
  <si>
    <t>5</t>
  </si>
  <si>
    <t>Calibration!H5 gives the interpolated raw command; H6 rounds it to the nearest 0.1 for the next trial.</t>
  </si>
  <si>
    <t>6</t>
  </si>
  <si>
    <t>Do not use a visibly bad or non-monotonic run for interpolation. Repeat it and inspect logs only if needed.</t>
  </si>
  <si>
    <t>7</t>
  </si>
  <si>
    <t>For an accepted feedforward point, record target radius/curvature and the absolute raw command. Offset from centre is calculated automatically.</t>
  </si>
  <si>
    <t>2026-09-15-1540</t>
    <phoneticPr fontId="6"/>
  </si>
  <si>
    <t>2026-09-15-2227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</si>
</sst>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%"/>
    <numFmt numFmtId="178" formatCode="0.000"/>
    <numFmt numFmtId="179" formatCode="0.0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i/>
      <sz val="11"/>
      <name val="Carlito"/>
    </font>
    <font>
      <b/>
      <sz val="11"/>
      <color rgb="FFFFFFFF"/>
      <name val="Carlito"/>
    </font>
    <font>
      <sz val="6"/>
      <name val="HGGothicE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BE6"/>
      </patternFill>
    </fill>
    <fill>
      <patternFill patternType="solid">
        <f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176" fontId="0" fillId="8" borderId="0" xfId="0" applyNumberFormat="1" applyFill="1" applyAlignment="1">
      <alignment wrapText="1"/>
    </xf>
    <xf numFmtId="0" fontId="2" fillId="5" borderId="0" xfId="0" applyFont="1" applyFill="1" applyAlignment="1">
      <alignment wrapText="1"/>
    </xf>
    <xf numFmtId="2" fontId="0" fillId="8" borderId="0" xfId="0" applyNumberFormat="1" applyFill="1" applyAlignment="1">
      <alignment wrapText="1"/>
    </xf>
    <xf numFmtId="0" fontId="0" fillId="8" borderId="0" xfId="0" applyFill="1" applyAlignment="1">
      <alignment wrapText="1"/>
    </xf>
    <xf numFmtId="178" fontId="3" fillId="6" borderId="0" xfId="0" applyNumberFormat="1" applyFont="1" applyFill="1" applyAlignment="1">
      <alignment wrapText="1"/>
    </xf>
    <xf numFmtId="176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8" borderId="0" xfId="0" applyNumberFormat="1" applyFill="1" applyAlignment="1">
      <alignment wrapText="1"/>
    </xf>
    <xf numFmtId="0" fontId="5" fillId="9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8" borderId="0" xfId="0" applyFill="1" applyAlignment="1">
      <alignment vertical="center" wrapText="1"/>
    </xf>
    <xf numFmtId="2" fontId="0" fillId="8" borderId="0" xfId="0" applyNumberFormat="1" applyFill="1" applyAlignment="1">
      <alignment vertical="center" wrapText="1"/>
    </xf>
    <xf numFmtId="1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178" fontId="0" fillId="8" borderId="0" xfId="0" applyNumberFormat="1" applyFill="1" applyAlignment="1">
      <alignment vertical="center" wrapText="1"/>
    </xf>
    <xf numFmtId="178" fontId="0" fillId="0" borderId="0" xfId="0" applyNumberFormat="1" applyAlignment="1">
      <alignment vertical="center" wrapText="1"/>
    </xf>
    <xf numFmtId="179" fontId="0" fillId="8" borderId="0" xfId="0" applyNumberFormat="1" applyFill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5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4" fontId="0" fillId="8" borderId="0" xfId="0" applyNumberFormat="1" applyFill="1" applyAlignment="1">
      <alignment vertical="center" wrapText="1"/>
    </xf>
  </cellXfs>
  <cellStyles count="1">
    <cellStyle name="Normal" xfId="0" builtinId="0"/>
  </cellStyles>
  <dxfs count="56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DEBF7"/>
        </patternFill>
      </fill>
    </dxf>
    <dxf>
      <font>
        <b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Calibration_275!$Q$15:$Q$64</c:f>
              <c:strCache>
                <c:ptCount val="4"/>
                <c:pt idx="0">
                  <c:v>-90.000</c:v>
                </c:pt>
                <c:pt idx="1">
                  <c:v>-85.000</c:v>
                </c:pt>
                <c:pt idx="2">
                  <c:v>-80.000</c:v>
                </c:pt>
                <c:pt idx="3">
                  <c:v>-81.700</c:v>
                </c:pt>
              </c:strCache>
            </c:strRef>
          </c:cat>
          <c:val>
            <c:numRef>
              <c:f>Calibration_275!$R$15:$R$64</c:f>
              <c:numCache>
                <c:formatCode>0.000</c:formatCode>
                <c:ptCount val="50"/>
                <c:pt idx="0">
                  <c:v>3.9802573590935624</c:v>
                </c:pt>
                <c:pt idx="1">
                  <c:v>3.7592780370759336</c:v>
                </c:pt>
                <c:pt idx="2">
                  <c:v>3.5752784178423349</c:v>
                </c:pt>
                <c:pt idx="3">
                  <c:v>3.6389521729405967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24-4D96-9CED-A571E30CF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Calibration_500!$Q$15:$Q$64</c:f>
              <c:strCache>
                <c:ptCount val="2"/>
                <c:pt idx="0">
                  <c:v>-42.000</c:v>
                </c:pt>
                <c:pt idx="1">
                  <c:v>-47.500</c:v>
                </c:pt>
              </c:strCache>
            </c:strRef>
          </c:cat>
          <c:val>
            <c:numRef>
              <c:f>Calibration_500!$R$15:$R$64</c:f>
              <c:numCache>
                <c:formatCode>0.000</c:formatCode>
                <c:ptCount val="50"/>
                <c:pt idx="0">
                  <c:v>1.7802079340885408</c:v>
                </c:pt>
                <c:pt idx="1">
                  <c:v>1.9947615363112834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19-42F3-9C34-60C16C7DE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Calibration_300!$Q$15:$Q$64</c:f>
              <c:strCache>
                <c:ptCount val="4"/>
                <c:pt idx="0">
                  <c:v>-84.200</c:v>
                </c:pt>
                <c:pt idx="1">
                  <c:v>-80.000</c:v>
                </c:pt>
                <c:pt idx="2">
                  <c:v>-78.000</c:v>
                </c:pt>
                <c:pt idx="3">
                  <c:v>-75.000</c:v>
                </c:pt>
              </c:strCache>
            </c:strRef>
          </c:cat>
          <c:val>
            <c:numRef>
              <c:f>Calibration_300!$R$15:$R$64</c:f>
              <c:numCache>
                <c:formatCode>0.000</c:formatCode>
                <c:ptCount val="50"/>
                <c:pt idx="0">
                  <c:v>3.6162468571203719</c:v>
                </c:pt>
                <c:pt idx="1">
                  <c:v>3.4704369505296757</c:v>
                </c:pt>
                <c:pt idx="2">
                  <c:v>3.4164114237660126</c:v>
                </c:pt>
                <c:pt idx="3">
                  <c:v>3.3306612747764768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75-47E2-9658-1B9B424C6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Calibration_1000!$Q$15:$Q$64</c:f>
              <c:strCache>
                <c:ptCount val="5"/>
                <c:pt idx="0">
                  <c:v>-23.800</c:v>
                </c:pt>
                <c:pt idx="1">
                  <c:v>-30.000</c:v>
                </c:pt>
                <c:pt idx="2">
                  <c:v>-28.000</c:v>
                </c:pt>
                <c:pt idx="3">
                  <c:v>-27.400</c:v>
                </c:pt>
                <c:pt idx="4">
                  <c:v>-27.700</c:v>
                </c:pt>
              </c:strCache>
            </c:strRef>
          </c:cat>
          <c:val>
            <c:numRef>
              <c:f>Calibration_1000!$R$15:$R$64</c:f>
              <c:numCache>
                <c:formatCode>0.000</c:formatCode>
                <c:ptCount val="50"/>
                <c:pt idx="0">
                  <c:v>0.85469492258298885</c:v>
                </c:pt>
                <c:pt idx="1">
                  <c:v>1.0712433791234941</c:v>
                </c:pt>
                <c:pt idx="2">
                  <c:v>1.0222343920989561</c:v>
                </c:pt>
                <c:pt idx="3">
                  <c:v>0.98283722760128145</c:v>
                </c:pt>
                <c:pt idx="4">
                  <c:v>1.0035119809547566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C5-4E28-B5CA-F3F5F73A8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Calibration_2000!$Q$15:$Q$64</c:f>
              <c:strCache>
                <c:ptCount val="1"/>
                <c:pt idx="0">
                  <c:v>-16.875</c:v>
                </c:pt>
              </c:strCache>
            </c:strRef>
          </c:cat>
          <c:val>
            <c:numRef>
              <c:f>Calibration_2000!$R$15:$R$64</c:f>
              <c:numCache>
                <c:formatCode>0.000</c:formatCode>
                <c:ptCount val="50"/>
                <c:pt idx="0">
                  <c:v>0.43607067059622462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E-4BDA-A587-DC1765AA7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Calibration_3000!$Q$15:$Q$64</c:f>
              <c:strCache>
                <c:ptCount val="1"/>
                <c:pt idx="0">
                  <c:v>-11.250</c:v>
                </c:pt>
              </c:strCache>
            </c:strRef>
          </c:cat>
          <c:val>
            <c:numRef>
              <c:f>Calibration_3000!$R$15:$R$64</c:f>
              <c:numCache>
                <c:formatCode>0.000</c:formatCode>
                <c:ptCount val="50"/>
                <c:pt idx="0">
                  <c:v>0.18314968165041434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B2-406E-B57C-0B7AF481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Calibration_6000!$Q$15:$Q$64</c:f>
              <c:strCache>
                <c:ptCount val="1"/>
                <c:pt idx="0">
                  <c:v>-5.625</c:v>
                </c:pt>
              </c:strCache>
            </c:strRef>
          </c:cat>
          <c:val>
            <c:numRef>
              <c:f>Calibration_6000!$R$15:$R$64</c:f>
              <c:numCache>
                <c:formatCode>0.000</c:formatCode>
                <c:ptCount val="50"/>
                <c:pt idx="0">
                  <c:v>5.4083573382471224E-2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61-42D3-94C9-809FA27B7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Calibration_1500!$Q$15:$Q$64</c:f>
              <c:strCache>
                <c:ptCount val="2"/>
                <c:pt idx="0">
                  <c:v>-20.500</c:v>
                </c:pt>
                <c:pt idx="1">
                  <c:v>-22.500</c:v>
                </c:pt>
              </c:strCache>
            </c:strRef>
          </c:cat>
          <c:val>
            <c:numRef>
              <c:f>Calibration_1500!$R$15:$R$64</c:f>
              <c:numCache>
                <c:formatCode>0.000</c:formatCode>
                <c:ptCount val="50"/>
                <c:pt idx="0">
                  <c:v>0.611257741028299</c:v>
                </c:pt>
                <c:pt idx="1">
                  <c:v>0.67323827119477619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3F-439B-A707-583BCBB6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'Calibration_-400'!$Q$15:$Q$64</c:f>
              <c:strCache>
                <c:ptCount val="3"/>
                <c:pt idx="0">
                  <c:v>60.000</c:v>
                </c:pt>
                <c:pt idx="1">
                  <c:v>59.500</c:v>
                </c:pt>
                <c:pt idx="2">
                  <c:v>59.700</c:v>
                </c:pt>
              </c:strCache>
            </c:strRef>
          </c:cat>
          <c:val>
            <c:numRef>
              <c:f>'Calibration_-400'!$R$15:$R$64</c:f>
              <c:numCache>
                <c:formatCode>0.000</c:formatCode>
                <c:ptCount val="50"/>
                <c:pt idx="0">
                  <c:v>2.5306751287155649</c:v>
                </c:pt>
                <c:pt idx="1">
                  <c:v>2.4730723273268955</c:v>
                </c:pt>
                <c:pt idx="2">
                  <c:v>2.4831211901876191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2B-4FC6-830F-0D16F2AE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'Calibration_-300'!$Q$15:$Q$64</c:f>
              <c:strCache>
                <c:ptCount val="5"/>
                <c:pt idx="0">
                  <c:v>67.500</c:v>
                </c:pt>
                <c:pt idx="1">
                  <c:v>70.000</c:v>
                </c:pt>
                <c:pt idx="2">
                  <c:v>80.000</c:v>
                </c:pt>
                <c:pt idx="3">
                  <c:v>85.000</c:v>
                </c:pt>
                <c:pt idx="4">
                  <c:v>84.200</c:v>
                </c:pt>
              </c:strCache>
            </c:strRef>
          </c:cat>
          <c:val>
            <c:numRef>
              <c:f>'Calibration_-300'!$R$15:$R$64</c:f>
              <c:numCache>
                <c:formatCode>0.000</c:formatCode>
                <c:ptCount val="50"/>
                <c:pt idx="0">
                  <c:v>2.8666048624790075</c:v>
                </c:pt>
                <c:pt idx="1">
                  <c:v>2.9586522858612652</c:v>
                </c:pt>
                <c:pt idx="2">
                  <c:v>3.2306564458531306</c:v>
                </c:pt>
                <c:pt idx="3">
                  <c:v>3.3519245231031505</c:v>
                </c:pt>
                <c:pt idx="4">
                  <c:v>3.3409990498400348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C0-43AB-8D85-104E69720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'Calibration_-500'!$Q$15:$Q$64</c:f>
              <c:strCache>
                <c:ptCount val="4"/>
                <c:pt idx="0">
                  <c:v>42.000</c:v>
                </c:pt>
                <c:pt idx="1">
                  <c:v>46.000</c:v>
                </c:pt>
                <c:pt idx="2">
                  <c:v>47.000</c:v>
                </c:pt>
                <c:pt idx="3">
                  <c:v>47.500</c:v>
                </c:pt>
              </c:strCache>
            </c:strRef>
          </c:cat>
          <c:val>
            <c:numRef>
              <c:f>'Calibration_-500'!$R$15:$R$64</c:f>
              <c:numCache>
                <c:formatCode>0.000</c:formatCode>
                <c:ptCount val="50"/>
                <c:pt idx="0">
                  <c:v>1.8564067555931294</c:v>
                </c:pt>
                <c:pt idx="1">
                  <c:v>1.9483110440012701</c:v>
                </c:pt>
                <c:pt idx="2">
                  <c:v>1.9940386704035213</c:v>
                </c:pt>
                <c:pt idx="3">
                  <c:v>1.9990240168048621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B6-4F0B-A6E4-A9A6DC058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'Calibration_-1500'!$Q$15:$Q$64</c:f>
              <c:strCache>
                <c:ptCount val="3"/>
                <c:pt idx="0">
                  <c:v>14.500</c:v>
                </c:pt>
                <c:pt idx="1">
                  <c:v>16.000</c:v>
                </c:pt>
                <c:pt idx="2">
                  <c:v>16.500</c:v>
                </c:pt>
              </c:strCache>
            </c:strRef>
          </c:cat>
          <c:val>
            <c:numRef>
              <c:f>'Calibration_-1500'!$R$15:$R$64</c:f>
              <c:numCache>
                <c:formatCode>0.000</c:formatCode>
                <c:ptCount val="50"/>
                <c:pt idx="0">
                  <c:v>0.54824815196985277</c:v>
                </c:pt>
                <c:pt idx="1">
                  <c:v>0.63647036794284229</c:v>
                </c:pt>
                <c:pt idx="2">
                  <c:v>0.65635121435774368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9A-4E00-A0B4-C2F062B7C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'Calibration_-1000'!$Q$15:$Q$64</c:f>
              <c:strCache>
                <c:ptCount val="5"/>
                <c:pt idx="0">
                  <c:v>22.000</c:v>
                </c:pt>
                <c:pt idx="1">
                  <c:v>22.500</c:v>
                </c:pt>
                <c:pt idx="2">
                  <c:v>23.000</c:v>
                </c:pt>
                <c:pt idx="3">
                  <c:v>25.000</c:v>
                </c:pt>
                <c:pt idx="4">
                  <c:v>23.800</c:v>
                </c:pt>
              </c:strCache>
            </c:strRef>
          </c:cat>
          <c:val>
            <c:numRef>
              <c:f>'Calibration_-1000'!$R$15:$R$64</c:f>
              <c:numCache>
                <c:formatCode>0.000</c:formatCode>
                <c:ptCount val="50"/>
                <c:pt idx="0">
                  <c:v>0.9427567697835505</c:v>
                </c:pt>
                <c:pt idx="1">
                  <c:v>0.96699261054550978</c:v>
                </c:pt>
                <c:pt idx="2">
                  <c:v>0.97090586398525824</c:v>
                </c:pt>
                <c:pt idx="3">
                  <c:v>1.0454194490821009</c:v>
                </c:pt>
                <c:pt idx="4">
                  <c:v>0.99770444010659387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C1-45B2-A152-C63B0FAC5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Raw Command vs Achieved Curvature Magnitude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|Measured curvature| ×1000</c:v>
          </c:tx>
          <c:marker>
            <c:symbol val="none"/>
          </c:marker>
          <c:cat>
            <c:strRef>
              <c:f>'Calibration_-2500'!$Q$15:$Q$64</c:f>
              <c:strCache>
                <c:ptCount val="5"/>
                <c:pt idx="0">
                  <c:v>14.500</c:v>
                </c:pt>
                <c:pt idx="1">
                  <c:v>10.950</c:v>
                </c:pt>
                <c:pt idx="2">
                  <c:v>12.000</c:v>
                </c:pt>
                <c:pt idx="3">
                  <c:v>12.000</c:v>
                </c:pt>
                <c:pt idx="4">
                  <c:v>12.000</c:v>
                </c:pt>
              </c:strCache>
            </c:strRef>
          </c:cat>
          <c:val>
            <c:numRef>
              <c:f>'Calibration_-2500'!$R$15:$R$64</c:f>
              <c:numCache>
                <c:formatCode>0.000</c:formatCode>
                <c:ptCount val="50"/>
                <c:pt idx="0">
                  <c:v>0.48261328711549689</c:v>
                </c:pt>
                <c:pt idx="1">
                  <c:v>0.36719914132867715</c:v>
                </c:pt>
                <c:pt idx="2">
                  <c:v>0.39981878410974558</c:v>
                </c:pt>
                <c:pt idx="3">
                  <c:v>0.3822156031179913</c:v>
                </c:pt>
                <c:pt idx="4">
                  <c:v>0.39910675902247955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62-474C-9BD3-14448AF7B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F73D1419-7A01-4720-B2CE-5757AF0B7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897C6DBF-A506-49E9-A860-815F68C71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5189B527-1543-4A46-A16C-A00372153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F670D5B-942D-4FBB-9752-B6226EA4D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BEB6AD7-28A5-45C8-A290-2C60D8CEE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2447CBA7-D723-48A0-857D-2AA57B0E9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404DE84D-CAD0-4B91-81B2-480E5FA4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BBCD4BF3-72F5-4366-8196-04306DCAE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23499A8D-9A23-4696-BDE0-9C90FF4AF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6A65FC99-30C3-4959-96DC-830563373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38C5A164-61D6-43F7-807E-2950598B8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F3A9AC9A-E0EA-4737-81DA-B2FCD261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A5FDADB8-ABA4-43BF-8FA9-D81A72922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DDF6-139F-4CAF-8587-15ED31CE418E}">
  <dimension ref="A1:X64"/>
  <sheetViews>
    <sheetView topLeftCell="A13" zoomScale="75" workbookViewId="0">
      <selection activeCell="F19" sqref="F19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500</v>
      </c>
      <c r="C5" s="2"/>
      <c r="D5" s="2" t="s">
        <v>8</v>
      </c>
      <c r="E5" s="8">
        <v>3</v>
      </c>
      <c r="F5" s="2"/>
      <c r="G5" s="2" t="s">
        <v>9</v>
      </c>
      <c r="H5" s="9">
        <f>IF(OR(E7="",E8="",E9="",E10="",E10=E8),"",E7+($B$8-E8)/(E10-E8)*(E9-E7))</f>
        <v>-81.659927851365552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2</v>
      </c>
      <c r="F6" s="2"/>
      <c r="G6" s="2" t="s">
        <v>12</v>
      </c>
      <c r="H6" s="9">
        <f>IF(H5="","",ROUND(H5,1))</f>
        <v>-81.7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275</v>
      </c>
      <c r="C7" s="2"/>
      <c r="D7" s="2" t="s">
        <v>14</v>
      </c>
      <c r="E7" s="2">
        <f>IF(E5="","",IFERROR(INDEX($F$15:$F$64,MATCH(E5,$A$15:$A$64,0)),""))</f>
        <v>-80</v>
      </c>
      <c r="F7" s="2"/>
      <c r="G7" s="2" t="s">
        <v>15</v>
      </c>
      <c r="H7" s="10">
        <f>$B$8</f>
        <v>3.6363636363636364E-3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3.6363636363636364E-3</v>
      </c>
      <c r="C8" s="2"/>
      <c r="D8" s="2" t="s">
        <v>17</v>
      </c>
      <c r="E8" s="2">
        <f>IF(E5="","",IFERROR(INDEX($K$15:$K$64,MATCH(E5,$A$15:$A$64,0)),""))</f>
        <v>3.5752784178423348E-3</v>
      </c>
      <c r="F8" s="2"/>
      <c r="G8" s="2" t="s">
        <v>18</v>
      </c>
      <c r="H8" s="11">
        <f>DEGREES($B$8*$B$5)</f>
        <v>104.17414456924058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-85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3.7592780370759335E-3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275</v>
      </c>
      <c r="E15" s="18">
        <f t="shared" ref="E15:E64" si="1">IF(D15="","",1/D15)</f>
        <v>3.6363636363636364E-3</v>
      </c>
      <c r="F15" s="19">
        <v>-90</v>
      </c>
      <c r="G15" s="20">
        <f t="shared" ref="G15:G64" si="2">IF(F15="","",F15-$B$4)</f>
        <v>-80.474977490000001</v>
      </c>
      <c r="H15" s="21">
        <v>500.5</v>
      </c>
      <c r="I15" s="19">
        <v>114.14</v>
      </c>
      <c r="J15" s="20">
        <f t="shared" ref="J15:J64" si="3">IF(OR(E15="",H15=""),"",DEGREES(E15*H15))</f>
        <v>104.27831871380982</v>
      </c>
      <c r="K15" s="18">
        <f t="shared" ref="K15:K64" si="4">IF(OR(H15="",I15="",H15=0),"",RADIANS(I15)/H15)</f>
        <v>3.9802573590935622E-3</v>
      </c>
      <c r="L15" s="22">
        <f t="shared" ref="L15:L64" si="5">IF(OR(K15="",E15="",E15=0),"",(ABS(K15)-ABS(E15))/ABS(E15))</f>
        <v>9.4570773750729614E-2</v>
      </c>
      <c r="M15" s="17">
        <f t="shared" ref="M15:M64" si="6">IF(OR(K15="",K15=0),"",1/K15)</f>
        <v>251.24003545030402</v>
      </c>
      <c r="N15" s="14" t="str">
        <f t="shared" ref="N15:N64" si="7">IF(OR(K15="",E15=""),"",IF(SIGN(K15)&lt;&gt;SIGN(E15),"WRONG SIGN",IF(ABS(L15)&lt;=$B$9,"ACCEPT",IF(ABS(K15)&lt;ABS(E15),"UNDER","OVER"))))</f>
        <v>OVER</v>
      </c>
      <c r="O15" s="15"/>
      <c r="P15" s="2"/>
      <c r="Q15" s="11">
        <f t="shared" ref="Q15:Q64" si="8">IF(F15="","",F15)</f>
        <v>-90</v>
      </c>
      <c r="R15" s="11">
        <f t="shared" ref="R15:R64" si="9">IF(K15="","",ABS(K15)*1000)</f>
        <v>3.9802573590935624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275</v>
      </c>
      <c r="E16" s="18">
        <f t="shared" si="1"/>
        <v>3.6363636363636364E-3</v>
      </c>
      <c r="F16" s="19">
        <v>-85</v>
      </c>
      <c r="G16" s="20">
        <f t="shared" si="2"/>
        <v>-75.474977490000001</v>
      </c>
      <c r="H16" s="21">
        <v>500.3</v>
      </c>
      <c r="I16" s="19">
        <v>107.76</v>
      </c>
      <c r="J16" s="20">
        <f>IF(OR(E16="",H16=""),"",DEGREES(E16*H16))</f>
        <v>104.23664905598214</v>
      </c>
      <c r="K16" s="18">
        <f>IF(OR(H16="",I16="",H16=0),"",RADIANS(I16)/H16)</f>
        <v>3.7592780370759335E-3</v>
      </c>
      <c r="L16" s="22">
        <f t="shared" si="5"/>
        <v>3.3801460195881705E-2</v>
      </c>
      <c r="M16" s="17">
        <f t="shared" si="6"/>
        <v>266.00852348176585</v>
      </c>
      <c r="N16" s="14" t="str">
        <f t="shared" si="7"/>
        <v>OVER</v>
      </c>
      <c r="O16" s="15"/>
      <c r="P16" s="2"/>
      <c r="Q16" s="11">
        <f t="shared" si="8"/>
        <v>-85</v>
      </c>
      <c r="R16" s="11">
        <f t="shared" si="9"/>
        <v>3.7592780370759336</v>
      </c>
      <c r="S16" s="2"/>
      <c r="T16" s="2"/>
      <c r="U16" s="2"/>
      <c r="V16" s="2"/>
      <c r="W16" s="2"/>
      <c r="X16" s="2"/>
    </row>
    <row r="17" spans="1:24" ht="14.1">
      <c r="A17" s="14">
        <v>3</v>
      </c>
      <c r="B17" s="15"/>
      <c r="C17" s="16">
        <v>10.55</v>
      </c>
      <c r="D17" s="17">
        <f>IF(OR(B17&lt;&gt;"",C17&lt;&gt;"",F17&lt;&gt;"",H17&lt;&gt;"",I17&lt;&gt;""),$B$7,"")</f>
        <v>275</v>
      </c>
      <c r="E17" s="18">
        <f t="shared" si="1"/>
        <v>3.6363636363636364E-3</v>
      </c>
      <c r="F17" s="19">
        <v>-80</v>
      </c>
      <c r="G17" s="20">
        <f t="shared" si="2"/>
        <v>-70.474977490000001</v>
      </c>
      <c r="H17" s="21">
        <v>501.2</v>
      </c>
      <c r="I17" s="19">
        <v>102.67</v>
      </c>
      <c r="J17" s="20">
        <f>IF(OR(E17="",H17=""),"",DEGREES(E17*H17))</f>
        <v>104.42416251620676</v>
      </c>
      <c r="K17" s="18">
        <f>IF(OR(H17="",I17="",H17=0),"",RADIANS(I17)/H17)</f>
        <v>3.5752784178423348E-3</v>
      </c>
      <c r="L17" s="22">
        <f t="shared" si="5"/>
        <v>-1.6798435093357923E-2</v>
      </c>
      <c r="M17" s="17">
        <f t="shared" si="6"/>
        <v>279.69849704837691</v>
      </c>
      <c r="N17" s="14" t="str">
        <f t="shared" si="7"/>
        <v>ACCEPT</v>
      </c>
      <c r="O17" s="15"/>
      <c r="P17" s="2"/>
      <c r="Q17" s="11">
        <f t="shared" si="8"/>
        <v>-80</v>
      </c>
      <c r="R17" s="11">
        <f t="shared" si="9"/>
        <v>3.5752784178423349</v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>
        <f t="shared" si="0"/>
        <v>275</v>
      </c>
      <c r="E18" s="18">
        <f t="shared" si="1"/>
        <v>3.6363636363636364E-3</v>
      </c>
      <c r="F18" s="19">
        <v>-81.7</v>
      </c>
      <c r="G18" s="20">
        <f t="shared" si="2"/>
        <v>-72.174977490000003</v>
      </c>
      <c r="H18" s="21">
        <v>500.2</v>
      </c>
      <c r="I18" s="19">
        <v>104.29</v>
      </c>
      <c r="J18" s="20">
        <f t="shared" si="3"/>
        <v>104.21581422706828</v>
      </c>
      <c r="K18" s="18">
        <f t="shared" si="4"/>
        <v>3.6389521729405967E-3</v>
      </c>
      <c r="L18" s="22">
        <f t="shared" si="5"/>
        <v>7.1184755866410005E-4</v>
      </c>
      <c r="M18" s="17">
        <f t="shared" si="6"/>
        <v>274.80438117215243</v>
      </c>
      <c r="N18" s="14" t="str">
        <f t="shared" si="7"/>
        <v>ACCEPT</v>
      </c>
      <c r="O18" s="15"/>
      <c r="P18" s="2"/>
      <c r="Q18" s="11">
        <f t="shared" si="8"/>
        <v>-81.7</v>
      </c>
      <c r="R18" s="11">
        <f t="shared" si="9"/>
        <v>3.6389521729405967</v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0"/>
        <v/>
      </c>
      <c r="E19" s="18" t="str">
        <f t="shared" si="1"/>
        <v/>
      </c>
      <c r="F19" s="19"/>
      <c r="G19" s="20" t="str">
        <f t="shared" si="2"/>
        <v/>
      </c>
      <c r="H19" s="21"/>
      <c r="I19" s="19"/>
      <c r="J19" s="20" t="str">
        <f t="shared" si="3"/>
        <v/>
      </c>
      <c r="K19" s="18" t="str">
        <f t="shared" si="4"/>
        <v/>
      </c>
      <c r="L19" s="22" t="str">
        <f t="shared" si="5"/>
        <v/>
      </c>
      <c r="M19" s="17" t="str">
        <f t="shared" si="6"/>
        <v/>
      </c>
      <c r="N19" s="14" t="str">
        <f t="shared" si="7"/>
        <v/>
      </c>
      <c r="O19" s="15"/>
      <c r="P19" s="2"/>
      <c r="Q19" s="11" t="str">
        <f t="shared" si="8"/>
        <v/>
      </c>
      <c r="R19" s="11" t="str">
        <f t="shared" si="9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55" priority="1">
      <formula>N15="ACCEPT"</formula>
    </cfRule>
    <cfRule type="expression" dxfId="54" priority="2">
      <formula>N15="UNDER"</formula>
    </cfRule>
    <cfRule type="expression" dxfId="53" priority="3">
      <formula>N15="OVER"</formula>
    </cfRule>
    <cfRule type="expression" dxfId="52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8964-1C3B-4F34-B008-9BEB77E31A1F}">
  <dimension ref="A1:X64"/>
  <sheetViews>
    <sheetView topLeftCell="A7" zoomScale="75" workbookViewId="0">
      <selection activeCell="F17" sqref="F17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500</v>
      </c>
      <c r="C5" s="2"/>
      <c r="D5" s="2" t="s">
        <v>8</v>
      </c>
      <c r="E5" s="8">
        <v>3</v>
      </c>
      <c r="F5" s="2"/>
      <c r="G5" s="2" t="s">
        <v>9</v>
      </c>
      <c r="H5" s="9" t="str">
        <f>IF(OR(E7="",E8="",E9="",E10="",E10=E8),"",E7+($B$8-E8)/(E10-E8)*(E9-E7))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4</v>
      </c>
      <c r="F6" s="2"/>
      <c r="G6" s="2" t="s">
        <v>12</v>
      </c>
      <c r="H6" s="9" t="str">
        <f>IF(H5="","",ROUND(H5,1))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500</v>
      </c>
      <c r="C7" s="2"/>
      <c r="D7" s="2" t="s">
        <v>14</v>
      </c>
      <c r="E7" s="2">
        <f>IF(E5="","",IFERROR(INDEX($F$15:$F$64,MATCH(E5,$A$15:$A$64,0)),""))</f>
        <v>0</v>
      </c>
      <c r="F7" s="2"/>
      <c r="G7" s="2" t="s">
        <v>15</v>
      </c>
      <c r="H7" s="10">
        <f>$B$8</f>
        <v>2E-3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2E-3</v>
      </c>
      <c r="C8" s="2"/>
      <c r="D8" s="2" t="s">
        <v>17</v>
      </c>
      <c r="E8" s="2" t="str">
        <f>IF(E5="","",IFERROR(INDEX($K$15:$K$64,MATCH(E5,$A$15:$A$64,0)),""))</f>
        <v/>
      </c>
      <c r="F8" s="2"/>
      <c r="G8" s="2" t="s">
        <v>18</v>
      </c>
      <c r="H8" s="11">
        <f>DEGREES($B$8*$B$5)</f>
        <v>57.295779513082323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 t="str">
        <f>IF(E6="","",IFERROR(INDEX($K$15:$K$64,MATCH(E6,$A$15:$A$64,0)),""))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500</v>
      </c>
      <c r="E15" s="18">
        <f t="shared" ref="E15:E64" si="1">IF(D15="","",1/D15)</f>
        <v>2E-3</v>
      </c>
      <c r="F15" s="19">
        <v>-42</v>
      </c>
      <c r="G15" s="20">
        <f t="shared" ref="G15:G64" si="2">IF(F15="","",F15-$B$4)</f>
        <v>-32.474977490000001</v>
      </c>
      <c r="H15" s="21">
        <v>500.4</v>
      </c>
      <c r="I15" s="19">
        <v>51.04</v>
      </c>
      <c r="J15" s="20">
        <f t="shared" ref="J15:J64" si="3">IF(OR(E15="",H15=""),"",DEGREES(E15*H15))</f>
        <v>57.341616136692785</v>
      </c>
      <c r="K15" s="18">
        <f t="shared" ref="K15:K64" si="4">IF(OR(H15="",I15="",H15=0),"",RADIANS(I15)/H15)</f>
        <v>1.7802079340885409E-3</v>
      </c>
      <c r="L15" s="22">
        <f t="shared" ref="L15:L64" si="5">IF(OR(K15="",E15="",E15=0),"",(ABS(K15)-ABS(E15))/ABS(E15))</f>
        <v>-0.10989603295572957</v>
      </c>
      <c r="M15" s="17">
        <f t="shared" ref="M15:M64" si="6">IF(OR(K15="",K15=0),"",1/K15)</f>
        <v>561.73213300051702</v>
      </c>
      <c r="N15" s="14" t="str">
        <f t="shared" ref="N15:N64" si="7">IF(OR(K15="",E15=""),"",IF(SIGN(K15)&lt;&gt;SIGN(E15),"WRONG SIGN",IF(ABS(L15)&lt;=$B$9,"ACCEPT",IF(ABS(K15)&lt;ABS(E15),"UNDER","OVER"))))</f>
        <v>UNDER</v>
      </c>
      <c r="O15" s="15"/>
      <c r="P15" s="2"/>
      <c r="Q15" s="11">
        <f t="shared" ref="Q15:Q64" si="8">IF(F15="","",F15)</f>
        <v>-42</v>
      </c>
      <c r="R15" s="11">
        <f t="shared" ref="R15:R64" si="9">IF(K15="","",ABS(K15)*1000)</f>
        <v>1.7802079340885408</v>
      </c>
      <c r="S15" s="2"/>
      <c r="T15" s="2"/>
      <c r="U15" s="2"/>
      <c r="V15" s="2"/>
      <c r="W15" s="2"/>
      <c r="X15" s="2"/>
    </row>
    <row r="16" spans="1:24" ht="14.1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500</v>
      </c>
      <c r="E16" s="18">
        <f t="shared" si="1"/>
        <v>2E-3</v>
      </c>
      <c r="F16" s="19">
        <v>-47.5</v>
      </c>
      <c r="G16" s="20">
        <f t="shared" si="2"/>
        <v>-37.974977490000001</v>
      </c>
      <c r="H16" s="21">
        <v>501</v>
      </c>
      <c r="I16" s="19">
        <v>57.26</v>
      </c>
      <c r="J16" s="20">
        <f>IF(OR(E16="",H16=""),"",DEGREES(E16*H16))</f>
        <v>57.410371072108489</v>
      </c>
      <c r="K16" s="18">
        <f>IF(OR(H16="",I16="",H16=0),"",RADIANS(I16)/H16)</f>
        <v>1.9947615363112834E-3</v>
      </c>
      <c r="L16" s="22">
        <f t="shared" si="5"/>
        <v>-2.6192318443583103E-3</v>
      </c>
      <c r="M16" s="17">
        <f t="shared" si="6"/>
        <v>501.3130551179575</v>
      </c>
      <c r="N16" s="14" t="str">
        <f t="shared" si="7"/>
        <v>ACCEPT</v>
      </c>
      <c r="O16" s="15"/>
      <c r="P16" s="2"/>
      <c r="Q16" s="11">
        <f t="shared" si="8"/>
        <v>-47.5</v>
      </c>
      <c r="R16" s="11">
        <f t="shared" si="9"/>
        <v>1.9947615363112834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>IF(OR(B17&lt;&gt;"",C17&lt;&gt;"",F17&lt;&gt;"",H17&lt;&gt;"",I17&lt;&gt;""),$B$7,"")</f>
        <v>500</v>
      </c>
      <c r="E17" s="18">
        <f t="shared" si="1"/>
        <v>2E-3</v>
      </c>
      <c r="F17" s="19"/>
      <c r="G17" s="20" t="str">
        <f t="shared" si="2"/>
        <v/>
      </c>
      <c r="H17" s="21"/>
      <c r="I17" s="19"/>
      <c r="J17" s="20" t="str">
        <f>IF(OR(E17="",H17=""),"",DEGREES(E17*H17))</f>
        <v/>
      </c>
      <c r="K17" s="18" t="str">
        <f>IF(OR(H17="",I17="",H17=0),"",RADIANS(I17)/H17)</f>
        <v/>
      </c>
      <c r="L17" s="22" t="str">
        <f t="shared" si="5"/>
        <v/>
      </c>
      <c r="M17" s="17" t="str">
        <f t="shared" si="6"/>
        <v/>
      </c>
      <c r="N17" s="14" t="str">
        <f t="shared" si="7"/>
        <v/>
      </c>
      <c r="O17" s="15"/>
      <c r="P17" s="2"/>
      <c r="Q17" s="11" t="str">
        <f t="shared" si="8"/>
        <v/>
      </c>
      <c r="R17" s="11" t="str">
        <f t="shared" si="9"/>
        <v/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/>
      <c r="D18" s="17" t="str">
        <f t="shared" si="0"/>
        <v/>
      </c>
      <c r="E18" s="18" t="str">
        <f t="shared" si="1"/>
        <v/>
      </c>
      <c r="F18" s="19"/>
      <c r="G18" s="20" t="str">
        <f t="shared" si="2"/>
        <v/>
      </c>
      <c r="H18" s="21"/>
      <c r="I18" s="19"/>
      <c r="J18" s="20" t="str">
        <f t="shared" si="3"/>
        <v/>
      </c>
      <c r="K18" s="18" t="str">
        <f t="shared" si="4"/>
        <v/>
      </c>
      <c r="L18" s="22" t="str">
        <f t="shared" si="5"/>
        <v/>
      </c>
      <c r="M18" s="17" t="str">
        <f t="shared" si="6"/>
        <v/>
      </c>
      <c r="N18" s="14" t="str">
        <f t="shared" si="7"/>
        <v/>
      </c>
      <c r="O18" s="15"/>
      <c r="P18" s="2"/>
      <c r="Q18" s="11" t="str">
        <f t="shared" si="8"/>
        <v/>
      </c>
      <c r="R18" s="11" t="str">
        <f t="shared" si="9"/>
        <v/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0"/>
        <v/>
      </c>
      <c r="E19" s="18" t="str">
        <f t="shared" si="1"/>
        <v/>
      </c>
      <c r="F19" s="19"/>
      <c r="G19" s="20" t="str">
        <f t="shared" si="2"/>
        <v/>
      </c>
      <c r="H19" s="21"/>
      <c r="I19" s="19"/>
      <c r="J19" s="20" t="str">
        <f t="shared" si="3"/>
        <v/>
      </c>
      <c r="K19" s="18" t="str">
        <f t="shared" si="4"/>
        <v/>
      </c>
      <c r="L19" s="22" t="str">
        <f t="shared" si="5"/>
        <v/>
      </c>
      <c r="M19" s="17" t="str">
        <f t="shared" si="6"/>
        <v/>
      </c>
      <c r="N19" s="14" t="str">
        <f t="shared" si="7"/>
        <v/>
      </c>
      <c r="O19" s="15"/>
      <c r="P19" s="2"/>
      <c r="Q19" s="11" t="str">
        <f t="shared" si="8"/>
        <v/>
      </c>
      <c r="R19" s="11" t="str">
        <f t="shared" si="9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51" priority="1">
      <formula>N15="ACCEPT"</formula>
    </cfRule>
    <cfRule type="expression" dxfId="50" priority="2">
      <formula>N15="UNDER"</formula>
    </cfRule>
    <cfRule type="expression" dxfId="49" priority="3">
      <formula>N15="OVER"</formula>
    </cfRule>
    <cfRule type="expression" dxfId="48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77A3-F6E0-452D-9DAB-EF7AEC171CE8}">
  <dimension ref="A1:X64"/>
  <sheetViews>
    <sheetView topLeftCell="A9" zoomScale="75" workbookViewId="0">
      <selection activeCell="I20" sqref="I20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500</v>
      </c>
      <c r="C5" s="2"/>
      <c r="D5" s="2" t="s">
        <v>8</v>
      </c>
      <c r="E5" s="8">
        <v>3</v>
      </c>
      <c r="F5" s="2"/>
      <c r="G5" s="2" t="s">
        <v>9</v>
      </c>
      <c r="H5" s="9">
        <f>IF(OR(E7="",E8="",E9="",E10="",E10=E8),"",E7+($B$8-E8)/(E10-E8)*(E9-E7))</f>
        <v>-75.093482935773665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4</v>
      </c>
      <c r="F6" s="2"/>
      <c r="G6" s="2" t="s">
        <v>12</v>
      </c>
      <c r="H6" s="9">
        <f>IF(H5="","",ROUND(H5,1))</f>
        <v>-75.099999999999994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300</v>
      </c>
      <c r="C7" s="2"/>
      <c r="D7" s="2" t="s">
        <v>14</v>
      </c>
      <c r="E7" s="2">
        <f>IF(E5="","",IFERROR(INDEX($F$15:$F$64,MATCH(E5,$A$15:$A$64,0)),""))</f>
        <v>-78</v>
      </c>
      <c r="F7" s="2"/>
      <c r="G7" s="2" t="s">
        <v>15</v>
      </c>
      <c r="H7" s="10">
        <f>$B$8</f>
        <v>3.3333333333333335E-3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3.3333333333333335E-3</v>
      </c>
      <c r="C8" s="2"/>
      <c r="D8" s="2" t="s">
        <v>17</v>
      </c>
      <c r="E8" s="2">
        <f>IF(E5="","",IFERROR(INDEX($K$15:$K$64,MATCH(E5,$A$15:$A$64,0)),""))</f>
        <v>3.4164114237660126E-3</v>
      </c>
      <c r="F8" s="2"/>
      <c r="G8" s="2" t="s">
        <v>18</v>
      </c>
      <c r="H8" s="11">
        <f>DEGREES($B$8*$B$5)</f>
        <v>95.492965855137214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-75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3.3306612747764767E-3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300</v>
      </c>
      <c r="E15" s="18">
        <f t="shared" ref="E15:E64" si="1">IF(D15="","",1/D15)</f>
        <v>3.3333333333333335E-3</v>
      </c>
      <c r="F15" s="19">
        <v>-84.2</v>
      </c>
      <c r="G15" s="20">
        <f t="shared" ref="G15:G64" si="2">IF(F15="","",F15-$B$4)</f>
        <v>-74.674977490000003</v>
      </c>
      <c r="H15" s="21">
        <v>500.3</v>
      </c>
      <c r="I15" s="19">
        <v>103.66</v>
      </c>
      <c r="J15" s="20">
        <f t="shared" ref="J15:J64" si="3">IF(OR(E15="",H15=""),"",DEGREES(E15*H15))</f>
        <v>95.550261634650298</v>
      </c>
      <c r="K15" s="18">
        <f t="shared" ref="K15:K64" si="4">IF(OR(H15="",I15="",H15=0),"",RADIANS(I15)/H15)</f>
        <v>3.6162468571203717E-3</v>
      </c>
      <c r="L15" s="22">
        <f t="shared" ref="L15:L64" si="5">IF(OR(K15="",E15="",E15=0),"",(ABS(K15)-ABS(E15))/ABS(E15))</f>
        <v>8.487405713611143E-2</v>
      </c>
      <c r="M15" s="17">
        <f t="shared" ref="M15:M64" si="6">IF(OR(K15="",K15=0),"",1/K15)</f>
        <v>276.52979442789007</v>
      </c>
      <c r="N15" s="14" t="str">
        <f t="shared" ref="N15:N64" si="7">IF(OR(K15="",E15=""),"",IF(SIGN(K15)&lt;&gt;SIGN(E15),"WRONG SIGN",IF(ABS(L15)&lt;=$B$9,"ACCEPT",IF(ABS(K15)&lt;ABS(E15),"UNDER","OVER"))))</f>
        <v>OVER</v>
      </c>
      <c r="O15" s="15"/>
      <c r="P15" s="2"/>
      <c r="Q15" s="11">
        <f t="shared" ref="Q15:Q64" si="8">IF(F15="","",F15)</f>
        <v>-84.2</v>
      </c>
      <c r="R15" s="11">
        <f t="shared" ref="R15:R64" si="9">IF(K15="","",ABS(K15)*1000)</f>
        <v>3.6162468571203719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300</v>
      </c>
      <c r="E16" s="18">
        <f t="shared" si="1"/>
        <v>3.3333333333333335E-3</v>
      </c>
      <c r="F16" s="19">
        <v>-80</v>
      </c>
      <c r="G16" s="20">
        <f t="shared" si="2"/>
        <v>-70.474977490000001</v>
      </c>
      <c r="H16" s="21">
        <v>500.6</v>
      </c>
      <c r="I16" s="19">
        <v>99.54</v>
      </c>
      <c r="J16" s="20">
        <f>IF(OR(E16="",H16=""),"",DEGREES(E16*H16))</f>
        <v>95.607557414163381</v>
      </c>
      <c r="K16" s="18">
        <f>IF(OR(H16="",I16="",H16=0),"",RADIANS(I16)/H16)</f>
        <v>3.4704369505296757E-3</v>
      </c>
      <c r="L16" s="22">
        <f t="shared" si="5"/>
        <v>4.1131085158902653E-2</v>
      </c>
      <c r="M16" s="17">
        <f t="shared" si="6"/>
        <v>288.14815374973892</v>
      </c>
      <c r="N16" s="14" t="str">
        <f t="shared" si="7"/>
        <v>OVER</v>
      </c>
      <c r="O16" s="15"/>
      <c r="P16" s="2"/>
      <c r="Q16" s="11">
        <f t="shared" si="8"/>
        <v>-80</v>
      </c>
      <c r="R16" s="11">
        <f t="shared" si="9"/>
        <v>3.4704369505296757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>IF(OR(B17&lt;&gt;"",C17&lt;&gt;"",F17&lt;&gt;"",H17&lt;&gt;"",I17&lt;&gt;""),$B$7,"")</f>
        <v>300</v>
      </c>
      <c r="E17" s="18">
        <f t="shared" si="1"/>
        <v>3.3333333333333335E-3</v>
      </c>
      <c r="F17" s="19">
        <v>-78</v>
      </c>
      <c r="G17" s="20">
        <f t="shared" si="2"/>
        <v>-68.474977490000001</v>
      </c>
      <c r="H17" s="21">
        <v>500.7</v>
      </c>
      <c r="I17" s="19">
        <v>98.01</v>
      </c>
      <c r="J17" s="20">
        <f>IF(OR(E17="",H17=""),"",DEGREES(E17*H17))</f>
        <v>95.626656007334404</v>
      </c>
      <c r="K17" s="18">
        <f>IF(OR(H17="",I17="",H17=0),"",RADIANS(I17)/H17)</f>
        <v>3.4164114237660126E-3</v>
      </c>
      <c r="L17" s="22">
        <f t="shared" si="5"/>
        <v>2.4923427129803707E-2</v>
      </c>
      <c r="M17" s="17">
        <f t="shared" si="6"/>
        <v>292.70479341087969</v>
      </c>
      <c r="N17" s="14" t="str">
        <f t="shared" si="7"/>
        <v>OVER</v>
      </c>
      <c r="O17" s="15"/>
      <c r="P17" s="2"/>
      <c r="Q17" s="11">
        <f t="shared" si="8"/>
        <v>-78</v>
      </c>
      <c r="R17" s="11">
        <f t="shared" si="9"/>
        <v>3.4164114237660126</v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>
        <f t="shared" si="0"/>
        <v>300</v>
      </c>
      <c r="E18" s="18">
        <f t="shared" si="1"/>
        <v>3.3333333333333335E-3</v>
      </c>
      <c r="F18" s="19">
        <v>-75</v>
      </c>
      <c r="G18" s="20">
        <f t="shared" si="2"/>
        <v>-65.474977490000001</v>
      </c>
      <c r="H18" s="21">
        <v>500.7</v>
      </c>
      <c r="I18" s="19">
        <v>95.55</v>
      </c>
      <c r="J18" s="20">
        <f t="shared" si="3"/>
        <v>95.626656007334404</v>
      </c>
      <c r="K18" s="18">
        <f t="shared" si="4"/>
        <v>3.3306612747764767E-3</v>
      </c>
      <c r="L18" s="22">
        <f t="shared" si="5"/>
        <v>-8.0161756705705509E-4</v>
      </c>
      <c r="M18" s="17">
        <f t="shared" si="6"/>
        <v>300.24067820199184</v>
      </c>
      <c r="N18" s="14" t="str">
        <f t="shared" si="7"/>
        <v>ACCEPT</v>
      </c>
      <c r="O18" s="15"/>
      <c r="P18" s="2"/>
      <c r="Q18" s="11">
        <f t="shared" si="8"/>
        <v>-75</v>
      </c>
      <c r="R18" s="11">
        <f t="shared" si="9"/>
        <v>3.3306612747764768</v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0"/>
        <v/>
      </c>
      <c r="E19" s="18" t="str">
        <f t="shared" si="1"/>
        <v/>
      </c>
      <c r="F19" s="19"/>
      <c r="G19" s="20" t="str">
        <f t="shared" si="2"/>
        <v/>
      </c>
      <c r="H19" s="21"/>
      <c r="I19" s="19"/>
      <c r="J19" s="20" t="str">
        <f t="shared" si="3"/>
        <v/>
      </c>
      <c r="K19" s="18" t="str">
        <f t="shared" si="4"/>
        <v/>
      </c>
      <c r="L19" s="22" t="str">
        <f t="shared" si="5"/>
        <v/>
      </c>
      <c r="M19" s="17" t="str">
        <f t="shared" si="6"/>
        <v/>
      </c>
      <c r="N19" s="14" t="str">
        <f t="shared" si="7"/>
        <v/>
      </c>
      <c r="O19" s="15"/>
      <c r="P19" s="2"/>
      <c r="Q19" s="11" t="str">
        <f t="shared" si="8"/>
        <v/>
      </c>
      <c r="R19" s="11" t="str">
        <f t="shared" si="9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47" priority="1">
      <formula>N15="ACCEPT"</formula>
    </cfRule>
    <cfRule type="expression" dxfId="46" priority="2">
      <formula>N15="UNDER"</formula>
    </cfRule>
    <cfRule type="expression" dxfId="45" priority="3">
      <formula>N15="OVER"</formula>
    </cfRule>
    <cfRule type="expression" dxfId="44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351F-906B-416A-A4DA-239A79FB0032}">
  <dimension ref="A1:X64"/>
  <sheetViews>
    <sheetView topLeftCell="A7" zoomScale="75" workbookViewId="0">
      <selection activeCell="I20" sqref="I20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>
        <v>4</v>
      </c>
      <c r="F5" s="2"/>
      <c r="G5" s="2" t="s">
        <v>9</v>
      </c>
      <c r="H5" s="9">
        <f>IF(OR(E7="",E8="",E9="",E10="",E10=E8),"",E7+($B$8-E8)/(E10-E8)*(E9-E7))</f>
        <v>-27.661380827034872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3</v>
      </c>
      <c r="F6" s="2"/>
      <c r="G6" s="2" t="s">
        <v>12</v>
      </c>
      <c r="H6" s="9">
        <f>IF(H5="","",ROUND(H5,1))</f>
        <v>-27.7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1000</v>
      </c>
      <c r="C7" s="2"/>
      <c r="D7" s="2" t="s">
        <v>14</v>
      </c>
      <c r="E7" s="2">
        <f>IF(E5="","",IFERROR(INDEX($F$15:$F$64,MATCH(E5,$A$15:$A$64,0)),""))</f>
        <v>-27.4</v>
      </c>
      <c r="F7" s="2"/>
      <c r="G7" s="2" t="s">
        <v>15</v>
      </c>
      <c r="H7" s="10">
        <f>$B$8</f>
        <v>1E-3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1E-3</v>
      </c>
      <c r="C8" s="2"/>
      <c r="D8" s="2" t="s">
        <v>17</v>
      </c>
      <c r="E8" s="2">
        <f>IF(E5="","",IFERROR(INDEX($K$15:$K$64,MATCH(E5,$A$15:$A$64,0)),""))</f>
        <v>9.8283722760128143E-4</v>
      </c>
      <c r="F8" s="2"/>
      <c r="G8" s="2" t="s">
        <v>18</v>
      </c>
      <c r="H8" s="11">
        <f>DEGREES($B$8*$B$5)</f>
        <v>57.295779513082323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-28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1.0222343920989561E-3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>IF(OR(B15&lt;&gt;"",C15&lt;&gt;"",F15&lt;&gt;"",H15&lt;&gt;"",I15&lt;&gt;""),$B$7,"")</f>
        <v>1000</v>
      </c>
      <c r="E15" s="18">
        <f t="shared" ref="E15:E64" si="0">IF(D15="","",1/D15)</f>
        <v>1E-3</v>
      </c>
      <c r="F15" s="19">
        <v>-23.8</v>
      </c>
      <c r="G15" s="20">
        <f>IF(F15="","",F15-$B$4)</f>
        <v>-14.274977490000001</v>
      </c>
      <c r="H15" s="21">
        <v>1000.4</v>
      </c>
      <c r="I15" s="19">
        <v>48.99</v>
      </c>
      <c r="J15" s="20">
        <f t="shared" ref="J15:J64" si="1">IF(OR(E15="",H15=""),"",DEGREES(E15*H15))</f>
        <v>57.31869782488755</v>
      </c>
      <c r="K15" s="18">
        <f t="shared" ref="K15:K64" si="2">IF(OR(H15="",I15="",H15=0),"",RADIANS(I15)/H15)</f>
        <v>8.5469492258298887E-4</v>
      </c>
      <c r="L15" s="22">
        <f t="shared" ref="L15:L64" si="3">IF(OR(K15="",E15="",E15=0),"",(ABS(K15)-ABS(E15))/ABS(E15))</f>
        <v>-0.14530507741701115</v>
      </c>
      <c r="M15" s="17">
        <f t="shared" ref="M15:M64" si="4">IF(OR(K15="",K15=0),"",1/K15)</f>
        <v>1170.0081205325077</v>
      </c>
      <c r="N15" s="14" t="str">
        <f t="shared" ref="N15:N64" si="5">IF(OR(K15="",E15=""),"",IF(SIGN(K15)&lt;&gt;SIGN(E15),"WRONG SIGN",IF(ABS(L15)&lt;=$B$9,"ACCEPT",IF(ABS(K15)&lt;ABS(E15),"UNDER","OVER"))))</f>
        <v>UNDER</v>
      </c>
      <c r="O15" s="15"/>
      <c r="P15" s="2"/>
      <c r="Q15" s="11">
        <f>IF(F15="","",F15)</f>
        <v>-23.8</v>
      </c>
      <c r="R15" s="11">
        <f t="shared" ref="R15:R64" si="6">IF(K15="","",ABS(K15)*1000)</f>
        <v>0.85469492258298885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1000</v>
      </c>
      <c r="E16" s="18">
        <f t="shared" si="0"/>
        <v>1E-3</v>
      </c>
      <c r="F16" s="19">
        <v>-30</v>
      </c>
      <c r="G16" s="20">
        <f>IF(F16="","",F16-$B$4)</f>
        <v>-20.474977490000001</v>
      </c>
      <c r="H16" s="21">
        <v>1000.2</v>
      </c>
      <c r="I16" s="19">
        <v>61.39</v>
      </c>
      <c r="J16" s="20">
        <f>IF(OR(E16="",H16=""),"",DEGREES(E16*H16))</f>
        <v>57.307238668984937</v>
      </c>
      <c r="K16" s="18">
        <f>IF(OR(H16="",I16="",H16=0),"",RADIANS(I16)/H16)</f>
        <v>1.071243379123494E-3</v>
      </c>
      <c r="L16" s="22">
        <f t="shared" si="3"/>
        <v>7.1243379123494016E-2</v>
      </c>
      <c r="M16" s="17">
        <f t="shared" si="4"/>
        <v>933.49468429687158</v>
      </c>
      <c r="N16" s="14" t="str">
        <f t="shared" si="5"/>
        <v>OVER</v>
      </c>
      <c r="O16" s="15"/>
      <c r="P16" s="2"/>
      <c r="Q16" s="11">
        <f>IF(F16="","",F16)</f>
        <v>-30</v>
      </c>
      <c r="R16" s="11">
        <f t="shared" si="6"/>
        <v>1.0712433791234941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>IF(OR(B17&lt;&gt;"",C17&lt;&gt;"",F17&lt;&gt;"",H17&lt;&gt;"",I17&lt;&gt;""),$B$7,"")</f>
        <v>1000</v>
      </c>
      <c r="E17" s="18">
        <f t="shared" si="0"/>
        <v>1E-3</v>
      </c>
      <c r="F17" s="19">
        <v>-28</v>
      </c>
      <c r="G17" s="20">
        <f t="shared" ref="G17:G64" si="7">IF(F17="","",F17-$B$4)</f>
        <v>-18.474977490000001</v>
      </c>
      <c r="H17" s="21">
        <v>1001.2</v>
      </c>
      <c r="I17" s="19">
        <v>58.64</v>
      </c>
      <c r="J17" s="20">
        <f>IF(OR(E17="",H17=""),"",DEGREES(E17*H17))</f>
        <v>57.364534448498027</v>
      </c>
      <c r="K17" s="18">
        <f>IF(OR(H17="",I17="",H17=0),"",RADIANS(I17)/H17)</f>
        <v>1.0222343920989561E-3</v>
      </c>
      <c r="L17" s="22">
        <f t="shared" si="3"/>
        <v>2.223439209895605E-2</v>
      </c>
      <c r="M17" s="17">
        <f t="shared" si="4"/>
        <v>978.24922320085307</v>
      </c>
      <c r="N17" s="14" t="str">
        <f t="shared" si="5"/>
        <v>OVER</v>
      </c>
      <c r="O17" s="15"/>
      <c r="P17" s="2"/>
      <c r="Q17" s="11">
        <f t="shared" ref="Q17:Q64" si="8">IF(F17="","",F17)</f>
        <v>-28</v>
      </c>
      <c r="R17" s="11">
        <f t="shared" si="6"/>
        <v>1.0222343920989561</v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>
        <f t="shared" ref="D18:D64" si="9">IF(OR(B18&lt;&gt;"",C18&lt;&gt;"",F18&lt;&gt;"",H18&lt;&gt;"",I18&lt;&gt;""),$B$7,"")</f>
        <v>1000</v>
      </c>
      <c r="E18" s="18">
        <f t="shared" si="0"/>
        <v>1E-3</v>
      </c>
      <c r="F18" s="19">
        <v>-27.4</v>
      </c>
      <c r="G18" s="20">
        <f t="shared" si="7"/>
        <v>-17.874977489999999</v>
      </c>
      <c r="H18" s="21">
        <v>1001.2</v>
      </c>
      <c r="I18" s="19">
        <v>56.38</v>
      </c>
      <c r="J18" s="20">
        <f t="shared" si="1"/>
        <v>57.364534448498027</v>
      </c>
      <c r="K18" s="18">
        <f t="shared" si="2"/>
        <v>9.8283722760128143E-4</v>
      </c>
      <c r="L18" s="22">
        <f t="shared" si="3"/>
        <v>-1.7162772398718589E-2</v>
      </c>
      <c r="M18" s="17">
        <f t="shared" si="4"/>
        <v>1017.4624769155379</v>
      </c>
      <c r="N18" s="14" t="str">
        <f t="shared" si="5"/>
        <v>ACCEPT</v>
      </c>
      <c r="O18" s="15"/>
      <c r="P18" s="2"/>
      <c r="Q18" s="11">
        <f t="shared" si="8"/>
        <v>-27.4</v>
      </c>
      <c r="R18" s="11">
        <f t="shared" si="6"/>
        <v>0.98283722760128145</v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>
        <f t="shared" si="9"/>
        <v>1000</v>
      </c>
      <c r="E19" s="18">
        <f t="shared" si="0"/>
        <v>1E-3</v>
      </c>
      <c r="F19" s="19">
        <v>-27.7</v>
      </c>
      <c r="G19" s="20">
        <f t="shared" si="7"/>
        <v>-18.17497749</v>
      </c>
      <c r="H19" s="21">
        <v>1000.4</v>
      </c>
      <c r="I19" s="19">
        <v>57.52</v>
      </c>
      <c r="J19" s="20">
        <f t="shared" si="1"/>
        <v>57.31869782488755</v>
      </c>
      <c r="K19" s="18">
        <f t="shared" si="2"/>
        <v>1.0035119809547566E-3</v>
      </c>
      <c r="L19" s="22">
        <f t="shared" si="3"/>
        <v>3.5119809547565391E-3</v>
      </c>
      <c r="M19" s="17">
        <f t="shared" si="4"/>
        <v>996.5003098902564</v>
      </c>
      <c r="N19" s="14" t="str">
        <f t="shared" si="5"/>
        <v>ACCEPT</v>
      </c>
      <c r="O19" s="15"/>
      <c r="P19" s="2"/>
      <c r="Q19" s="11">
        <f t="shared" si="8"/>
        <v>-27.7</v>
      </c>
      <c r="R19" s="11">
        <f t="shared" si="6"/>
        <v>1.0035119809547566</v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43" priority="1">
      <formula>N15="ACCEPT"</formula>
    </cfRule>
    <cfRule type="expression" dxfId="42" priority="2">
      <formula>N15="UNDER"</formula>
    </cfRule>
    <cfRule type="expression" dxfId="41" priority="3">
      <formula>N15="OVER"</formula>
    </cfRule>
    <cfRule type="expression" dxfId="40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3A20-C539-4441-B510-4B6EF698239D}">
  <dimension ref="A1:X64"/>
  <sheetViews>
    <sheetView topLeftCell="A4" zoomScale="75" workbookViewId="0">
      <selection activeCell="K15" sqref="K15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/>
      <c r="F5" s="2"/>
      <c r="G5" s="2" t="s">
        <v>9</v>
      </c>
      <c r="H5" s="9" t="str">
        <f>IF(OR(E7="",E8="",E9="",E10="",E10=E8),"",E7+($B$8-E8)/(E10-E8)*(E9-E7))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/>
      <c r="F6" s="2"/>
      <c r="G6" s="2" t="s">
        <v>12</v>
      </c>
      <c r="H6" s="9" t="str">
        <f>IF(H5="","",ROUND(H5,1))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2000</v>
      </c>
      <c r="C7" s="2"/>
      <c r="D7" s="2" t="s">
        <v>14</v>
      </c>
      <c r="E7" s="2" t="str">
        <f>IF(E5="","",IFERROR(INDEX($F$15:$F$64,MATCH(E5,$A$15:$A$64,0)),""))</f>
        <v/>
      </c>
      <c r="F7" s="2"/>
      <c r="G7" s="2" t="s">
        <v>15</v>
      </c>
      <c r="H7" s="10">
        <f>$B$8</f>
        <v>5.0000000000000001E-4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5.0000000000000001E-4</v>
      </c>
      <c r="C8" s="2"/>
      <c r="D8" s="2" t="s">
        <v>17</v>
      </c>
      <c r="E8" s="2" t="str">
        <f>IF(E5="","",IFERROR(INDEX($K$15:$K$64,MATCH(E5,$A$15:$A$64,0)),""))</f>
        <v/>
      </c>
      <c r="F8" s="2"/>
      <c r="G8" s="2" t="s">
        <v>18</v>
      </c>
      <c r="H8" s="11">
        <f>DEGREES($B$8*$B$5)</f>
        <v>28.647889756541161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 t="str">
        <f>IF(E6="","",IFERROR(INDEX($F$15:$F$64,MATCH(E6,$A$15:$A$64,0)),""))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 t="str">
        <f>IF(E6="","",IFERROR(INDEX($K$15:$K$64,MATCH(E6,$A$15:$A$64,0)),""))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31">
        <v>46306</v>
      </c>
      <c r="C15" s="16">
        <v>11.43</v>
      </c>
      <c r="D15" s="17">
        <f>IF(OR(B15&lt;&gt;"",C15&lt;&gt;"",F15&lt;&gt;"",H15&lt;&gt;"",I15&lt;&gt;""),$B$7,"")</f>
        <v>2000</v>
      </c>
      <c r="E15" s="18">
        <f t="shared" ref="E15:E64" si="0">IF(D15="","",1/D15)</f>
        <v>5.0000000000000001E-4</v>
      </c>
      <c r="F15" s="19">
        <v>-16.875</v>
      </c>
      <c r="G15" s="20">
        <f>IF(F15="","",F15-$B$4)</f>
        <v>-7.3499774900000006</v>
      </c>
      <c r="H15" s="21">
        <v>1000.6</v>
      </c>
      <c r="I15" s="19">
        <v>25</v>
      </c>
      <c r="J15" s="20">
        <f t="shared" ref="J15:J64" si="1">IF(OR(E15="",H15=""),"",DEGREES(E15*H15))</f>
        <v>28.665078490395086</v>
      </c>
      <c r="K15" s="18">
        <f t="shared" ref="K15:K64" si="2">IF(OR(H15="",I15="",H15=0),"",RADIANS(I15)/H15)</f>
        <v>4.3607067059622465E-4</v>
      </c>
      <c r="L15" s="22">
        <f t="shared" ref="L15:L64" si="3">IF(OR(K15="",E15="",E15=0),"",(ABS(K15)-ABS(E15))/ABS(E15))</f>
        <v>-0.12785865880755073</v>
      </c>
      <c r="M15" s="17">
        <f t="shared" ref="M15:M64" si="4">IF(OR(K15="",K15=0),"",1/K15)</f>
        <v>2293.2062792316069</v>
      </c>
      <c r="N15" s="14" t="str">
        <f t="shared" ref="N15:N64" si="5">IF(OR(K15="",E15=""),"",IF(SIGN(K15)&lt;&gt;SIGN(E15),"WRONG SIGN",IF(ABS(L15)&lt;=$B$9,"ACCEPT",IF(ABS(K15)&lt;ABS(E15),"UNDER","OVER"))))</f>
        <v>UNDER</v>
      </c>
      <c r="O15" s="15"/>
      <c r="P15" s="2"/>
      <c r="Q15" s="11">
        <f>IF(F15="","",F15)</f>
        <v>-16.875</v>
      </c>
      <c r="R15" s="11">
        <f t="shared" ref="R15:R64" si="6">IF(K15="","",ABS(K15)*1000)</f>
        <v>0.43607067059622462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/>
      <c r="C16" s="16"/>
      <c r="D16" s="17" t="str">
        <f>IF(OR(B16&lt;&gt;"",C16&lt;&gt;"",F16&lt;&gt;"",H16&lt;&gt;"",I16&lt;&gt;""),$B$7,"")</f>
        <v/>
      </c>
      <c r="E16" s="18" t="str">
        <f t="shared" si="0"/>
        <v/>
      </c>
      <c r="F16" s="19"/>
      <c r="G16" s="20" t="str">
        <f>IF(F16="","",F16-$B$4)</f>
        <v/>
      </c>
      <c r="H16" s="21"/>
      <c r="I16" s="19"/>
      <c r="J16" s="20" t="str">
        <f>IF(OR(E16="",H16=""),"",DEGREES(E16*H16))</f>
        <v/>
      </c>
      <c r="K16" s="18" t="str">
        <f>IF(OR(H16="",I16="",H16=0),"",RADIANS(I16)/H16)</f>
        <v/>
      </c>
      <c r="L16" s="22" t="str">
        <f t="shared" si="3"/>
        <v/>
      </c>
      <c r="M16" s="17" t="str">
        <f t="shared" si="4"/>
        <v/>
      </c>
      <c r="N16" s="14" t="str">
        <f t="shared" si="5"/>
        <v/>
      </c>
      <c r="O16" s="15"/>
      <c r="P16" s="2"/>
      <c r="Q16" s="11" t="str">
        <f>IF(F16="","",F16)</f>
        <v/>
      </c>
      <c r="R16" s="11" t="str">
        <f t="shared" si="6"/>
        <v/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/>
      <c r="D17" s="17" t="str">
        <f>IF(OR(B17&lt;&gt;"",C17&lt;&gt;"",F17&lt;&gt;"",H17&lt;&gt;"",I17&lt;&gt;""),$B$7,"")</f>
        <v/>
      </c>
      <c r="E17" s="18" t="str">
        <f t="shared" si="0"/>
        <v/>
      </c>
      <c r="F17" s="19"/>
      <c r="G17" s="20" t="str">
        <f t="shared" ref="G17:G64" si="7">IF(F17="","",F17-$B$4)</f>
        <v/>
      </c>
      <c r="H17" s="21"/>
      <c r="I17" s="19"/>
      <c r="J17" s="20" t="str">
        <f>IF(OR(E17="",H17=""),"",DEGREES(E17*H17))</f>
        <v/>
      </c>
      <c r="K17" s="18" t="str">
        <f>IF(OR(H17="",I17="",H17=0),"",RADIANS(I17)/H17)</f>
        <v/>
      </c>
      <c r="L17" s="22" t="str">
        <f t="shared" si="3"/>
        <v/>
      </c>
      <c r="M17" s="17" t="str">
        <f t="shared" si="4"/>
        <v/>
      </c>
      <c r="N17" s="14" t="str">
        <f t="shared" si="5"/>
        <v/>
      </c>
      <c r="O17" s="15"/>
      <c r="P17" s="2"/>
      <c r="Q17" s="11" t="str">
        <f t="shared" ref="Q17:Q64" si="8">IF(F17="","",F17)</f>
        <v/>
      </c>
      <c r="R17" s="11" t="str">
        <f t="shared" si="6"/>
        <v/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 t="str">
        <f t="shared" ref="D18:D64" si="9">IF(OR(B18&lt;&gt;"",C18&lt;&gt;"",F18&lt;&gt;"",H18&lt;&gt;"",I18&lt;&gt;""),$B$7,"")</f>
        <v/>
      </c>
      <c r="E18" s="18" t="str">
        <f t="shared" si="0"/>
        <v/>
      </c>
      <c r="F18" s="19"/>
      <c r="G18" s="20" t="str">
        <f t="shared" si="7"/>
        <v/>
      </c>
      <c r="H18" s="21"/>
      <c r="I18" s="19"/>
      <c r="J18" s="20" t="str">
        <f t="shared" si="1"/>
        <v/>
      </c>
      <c r="K18" s="18" t="str">
        <f t="shared" si="2"/>
        <v/>
      </c>
      <c r="L18" s="22" t="str">
        <f t="shared" si="3"/>
        <v/>
      </c>
      <c r="M18" s="17" t="str">
        <f t="shared" si="4"/>
        <v/>
      </c>
      <c r="N18" s="14" t="str">
        <f t="shared" si="5"/>
        <v/>
      </c>
      <c r="O18" s="15"/>
      <c r="P18" s="2"/>
      <c r="Q18" s="11" t="str">
        <f t="shared" si="8"/>
        <v/>
      </c>
      <c r="R18" s="11" t="str">
        <f t="shared" si="6"/>
        <v/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 t="str">
        <f t="shared" si="9"/>
        <v/>
      </c>
      <c r="E19" s="18" t="str">
        <f t="shared" si="0"/>
        <v/>
      </c>
      <c r="F19" s="19"/>
      <c r="G19" s="20" t="str">
        <f t="shared" si="7"/>
        <v/>
      </c>
      <c r="H19" s="21"/>
      <c r="I19" s="19"/>
      <c r="J19" s="20" t="str">
        <f t="shared" si="1"/>
        <v/>
      </c>
      <c r="K19" s="18" t="str">
        <f t="shared" si="2"/>
        <v/>
      </c>
      <c r="L19" s="22" t="str">
        <f t="shared" si="3"/>
        <v/>
      </c>
      <c r="M19" s="17" t="str">
        <f t="shared" si="4"/>
        <v/>
      </c>
      <c r="N19" s="14" t="str">
        <f t="shared" si="5"/>
        <v/>
      </c>
      <c r="O19" s="15"/>
      <c r="P19" s="2"/>
      <c r="Q19" s="11" t="str">
        <f t="shared" si="8"/>
        <v/>
      </c>
      <c r="R19" s="11" t="str">
        <f t="shared" si="6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11" priority="1">
      <formula>N15="ACCEPT"</formula>
    </cfRule>
    <cfRule type="expression" dxfId="10" priority="2">
      <formula>N15="UNDER"</formula>
    </cfRule>
    <cfRule type="expression" dxfId="9" priority="3">
      <formula>N15="OVER"</formula>
    </cfRule>
    <cfRule type="expression" dxfId="8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6BA0-C886-4182-9689-ED0E9D42B7F9}">
  <dimension ref="A1:X64"/>
  <sheetViews>
    <sheetView topLeftCell="A4" zoomScale="75" workbookViewId="0">
      <selection activeCell="K15" sqref="K15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/>
      <c r="F5" s="2"/>
      <c r="G5" s="2" t="s">
        <v>9</v>
      </c>
      <c r="H5" s="9" t="str">
        <f>IF(OR(E7="",E8="",E9="",E10="",E10=E8),"",E7+($B$8-E8)/(E10-E8)*(E9-E7))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/>
      <c r="F6" s="2"/>
      <c r="G6" s="2" t="s">
        <v>12</v>
      </c>
      <c r="H6" s="9" t="str">
        <f>IF(H5="","",ROUND(H5,1))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3000</v>
      </c>
      <c r="C7" s="2"/>
      <c r="D7" s="2" t="s">
        <v>14</v>
      </c>
      <c r="E7" s="2" t="str">
        <f>IF(E5="","",IFERROR(INDEX($F$15:$F$64,MATCH(E5,$A$15:$A$64,0)),""))</f>
        <v/>
      </c>
      <c r="F7" s="2"/>
      <c r="G7" s="2" t="s">
        <v>15</v>
      </c>
      <c r="H7" s="10">
        <f>$B$8</f>
        <v>3.3333333333333332E-4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3.3333333333333332E-4</v>
      </c>
      <c r="C8" s="2"/>
      <c r="D8" s="2" t="s">
        <v>17</v>
      </c>
      <c r="E8" s="2" t="str">
        <f>IF(E5="","",IFERROR(INDEX($K$15:$K$64,MATCH(E5,$A$15:$A$64,0)),""))</f>
        <v/>
      </c>
      <c r="F8" s="2"/>
      <c r="G8" s="2" t="s">
        <v>18</v>
      </c>
      <c r="H8" s="11">
        <f>DEGREES($B$8*$B$5)</f>
        <v>19.098593171027439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 t="str">
        <f>IF(E6="","",IFERROR(INDEX($F$15:$F$64,MATCH(E6,$A$15:$A$64,0)),""))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 t="str">
        <f>IF(E6="","",IFERROR(INDEX($K$15:$K$64,MATCH(E6,$A$15:$A$64,0)),""))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31">
        <v>46306</v>
      </c>
      <c r="C15" s="16">
        <v>11.43</v>
      </c>
      <c r="D15" s="17">
        <f>IF(OR(B15&lt;&gt;"",C15&lt;&gt;"",F15&lt;&gt;"",H15&lt;&gt;"",I15&lt;&gt;""),$B$7,"")</f>
        <v>3000</v>
      </c>
      <c r="E15" s="18">
        <f t="shared" ref="E15:E64" si="0">IF(D15="","",1/D15)</f>
        <v>3.3333333333333332E-4</v>
      </c>
      <c r="F15" s="19">
        <v>-11.25</v>
      </c>
      <c r="G15" s="20">
        <f>IF(F15="","",F15-$B$4)</f>
        <v>-1.7249774900000006</v>
      </c>
      <c r="H15" s="21">
        <v>1000.6</v>
      </c>
      <c r="I15" s="19">
        <v>10.5</v>
      </c>
      <c r="J15" s="20">
        <f t="shared" ref="J15:J64" si="1">IF(OR(E15="",H15=""),"",DEGREES(E15*H15))</f>
        <v>19.11005232693006</v>
      </c>
      <c r="K15" s="18">
        <f t="shared" ref="K15:K64" si="2">IF(OR(H15="",I15="",H15=0),"",RADIANS(I15)/H15)</f>
        <v>1.8314968165041435E-4</v>
      </c>
      <c r="L15" s="22">
        <f t="shared" ref="L15:L64" si="3">IF(OR(K15="",E15="",E15=0),"",(ABS(K15)-ABS(E15))/ABS(E15))</f>
        <v>-0.45055095504875692</v>
      </c>
      <c r="M15" s="17">
        <f t="shared" ref="M15:M64" si="4">IF(OR(K15="",K15=0),"",1/K15)</f>
        <v>5460.0149505514446</v>
      </c>
      <c r="N15" s="14" t="str">
        <f t="shared" ref="N15:N64" si="5">IF(OR(K15="",E15=""),"",IF(SIGN(K15)&lt;&gt;SIGN(E15),"WRONG SIGN",IF(ABS(L15)&lt;=$B$9,"ACCEPT",IF(ABS(K15)&lt;ABS(E15),"UNDER","OVER"))))</f>
        <v>UNDER</v>
      </c>
      <c r="O15" s="15"/>
      <c r="P15" s="2"/>
      <c r="Q15" s="11">
        <f>IF(F15="","",F15)</f>
        <v>-11.25</v>
      </c>
      <c r="R15" s="11">
        <f t="shared" ref="R15:R64" si="6">IF(K15="","",ABS(K15)*1000)</f>
        <v>0.18314968165041434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/>
      <c r="C16" s="16"/>
      <c r="D16" s="17" t="str">
        <f>IF(OR(B16&lt;&gt;"",C16&lt;&gt;"",F16&lt;&gt;"",H16&lt;&gt;"",I16&lt;&gt;""),$B$7,"")</f>
        <v/>
      </c>
      <c r="E16" s="18" t="str">
        <f t="shared" si="0"/>
        <v/>
      </c>
      <c r="F16" s="19"/>
      <c r="G16" s="20" t="str">
        <f>IF(F16="","",F16-$B$4)</f>
        <v/>
      </c>
      <c r="H16" s="21"/>
      <c r="I16" s="19"/>
      <c r="J16" s="20" t="str">
        <f>IF(OR(E16="",H16=""),"",DEGREES(E16*H16))</f>
        <v/>
      </c>
      <c r="K16" s="18" t="str">
        <f>IF(OR(H16="",I16="",H16=0),"",RADIANS(I16)/H16)</f>
        <v/>
      </c>
      <c r="L16" s="22" t="str">
        <f t="shared" si="3"/>
        <v/>
      </c>
      <c r="M16" s="17" t="str">
        <f t="shared" si="4"/>
        <v/>
      </c>
      <c r="N16" s="14" t="str">
        <f t="shared" si="5"/>
        <v/>
      </c>
      <c r="O16" s="15"/>
      <c r="P16" s="2"/>
      <c r="Q16" s="11" t="str">
        <f>IF(F16="","",F16)</f>
        <v/>
      </c>
      <c r="R16" s="11" t="str">
        <f t="shared" si="6"/>
        <v/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/>
      <c r="D17" s="17" t="str">
        <f>IF(OR(B17&lt;&gt;"",C17&lt;&gt;"",F17&lt;&gt;"",H17&lt;&gt;"",I17&lt;&gt;""),$B$7,"")</f>
        <v/>
      </c>
      <c r="E17" s="18" t="str">
        <f t="shared" si="0"/>
        <v/>
      </c>
      <c r="F17" s="19"/>
      <c r="G17" s="20" t="str">
        <f t="shared" ref="G17:G64" si="7">IF(F17="","",F17-$B$4)</f>
        <v/>
      </c>
      <c r="H17" s="21"/>
      <c r="I17" s="19"/>
      <c r="J17" s="20" t="str">
        <f>IF(OR(E17="",H17=""),"",DEGREES(E17*H17))</f>
        <v/>
      </c>
      <c r="K17" s="18" t="str">
        <f>IF(OR(H17="",I17="",H17=0),"",RADIANS(I17)/H17)</f>
        <v/>
      </c>
      <c r="L17" s="22" t="str">
        <f t="shared" si="3"/>
        <v/>
      </c>
      <c r="M17" s="17" t="str">
        <f t="shared" si="4"/>
        <v/>
      </c>
      <c r="N17" s="14" t="str">
        <f t="shared" si="5"/>
        <v/>
      </c>
      <c r="O17" s="15"/>
      <c r="P17" s="2"/>
      <c r="Q17" s="11" t="str">
        <f t="shared" ref="Q17:Q64" si="8">IF(F17="","",F17)</f>
        <v/>
      </c>
      <c r="R17" s="11" t="str">
        <f t="shared" si="6"/>
        <v/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 t="str">
        <f t="shared" ref="D18:D64" si="9">IF(OR(B18&lt;&gt;"",C18&lt;&gt;"",F18&lt;&gt;"",H18&lt;&gt;"",I18&lt;&gt;""),$B$7,"")</f>
        <v/>
      </c>
      <c r="E18" s="18" t="str">
        <f t="shared" si="0"/>
        <v/>
      </c>
      <c r="F18" s="19"/>
      <c r="G18" s="20" t="str">
        <f t="shared" si="7"/>
        <v/>
      </c>
      <c r="H18" s="21"/>
      <c r="I18" s="19"/>
      <c r="J18" s="20" t="str">
        <f t="shared" si="1"/>
        <v/>
      </c>
      <c r="K18" s="18" t="str">
        <f t="shared" si="2"/>
        <v/>
      </c>
      <c r="L18" s="22" t="str">
        <f t="shared" si="3"/>
        <v/>
      </c>
      <c r="M18" s="17" t="str">
        <f t="shared" si="4"/>
        <v/>
      </c>
      <c r="N18" s="14" t="str">
        <f t="shared" si="5"/>
        <v/>
      </c>
      <c r="O18" s="15"/>
      <c r="P18" s="2"/>
      <c r="Q18" s="11" t="str">
        <f t="shared" si="8"/>
        <v/>
      </c>
      <c r="R18" s="11" t="str">
        <f t="shared" si="6"/>
        <v/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 t="str">
        <f t="shared" si="9"/>
        <v/>
      </c>
      <c r="E19" s="18" t="str">
        <f t="shared" si="0"/>
        <v/>
      </c>
      <c r="F19" s="19"/>
      <c r="G19" s="20" t="str">
        <f t="shared" si="7"/>
        <v/>
      </c>
      <c r="H19" s="21"/>
      <c r="I19" s="19"/>
      <c r="J19" s="20" t="str">
        <f t="shared" si="1"/>
        <v/>
      </c>
      <c r="K19" s="18" t="str">
        <f t="shared" si="2"/>
        <v/>
      </c>
      <c r="L19" s="22" t="str">
        <f t="shared" si="3"/>
        <v/>
      </c>
      <c r="M19" s="17" t="str">
        <f t="shared" si="4"/>
        <v/>
      </c>
      <c r="N19" s="14" t="str">
        <f t="shared" si="5"/>
        <v/>
      </c>
      <c r="O19" s="15"/>
      <c r="P19" s="2"/>
      <c r="Q19" s="11" t="str">
        <f t="shared" si="8"/>
        <v/>
      </c>
      <c r="R19" s="11" t="str">
        <f t="shared" si="6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7" priority="1">
      <formula>N15="ACCEPT"</formula>
    </cfRule>
    <cfRule type="expression" dxfId="6" priority="2">
      <formula>N15="UNDER"</formula>
    </cfRule>
    <cfRule type="expression" dxfId="5" priority="3">
      <formula>N15="OVER"</formula>
    </cfRule>
    <cfRule type="expression" dxfId="4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574F-D483-4E81-85FF-4C53339A3945}">
  <dimension ref="A1:X64"/>
  <sheetViews>
    <sheetView tabSelected="1" topLeftCell="A4" zoomScale="75" workbookViewId="0">
      <selection activeCell="K15" sqref="K15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/>
      <c r="F5" s="2"/>
      <c r="G5" s="2" t="s">
        <v>9</v>
      </c>
      <c r="H5" s="9" t="str">
        <f>IF(OR(E7="",E8="",E9="",E10="",E10=E8),"",E7+($B$8-E8)/(E10-E8)*(E9-E7))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/>
      <c r="F6" s="2"/>
      <c r="G6" s="2" t="s">
        <v>12</v>
      </c>
      <c r="H6" s="9" t="str">
        <f>IF(H5="","",ROUND(H5,1))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6000</v>
      </c>
      <c r="C7" s="2"/>
      <c r="D7" s="2" t="s">
        <v>14</v>
      </c>
      <c r="E7" s="2" t="str">
        <f>IF(E5="","",IFERROR(INDEX($F$15:$F$64,MATCH(E5,$A$15:$A$64,0)),""))</f>
        <v/>
      </c>
      <c r="F7" s="2"/>
      <c r="G7" s="2" t="s">
        <v>15</v>
      </c>
      <c r="H7" s="10">
        <f>$B$8</f>
        <v>1.6666666666666666E-4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1.6666666666666666E-4</v>
      </c>
      <c r="C8" s="2"/>
      <c r="D8" s="2" t="s">
        <v>17</v>
      </c>
      <c r="E8" s="2" t="str">
        <f>IF(E5="","",IFERROR(INDEX($K$15:$K$64,MATCH(E5,$A$15:$A$64,0)),""))</f>
        <v/>
      </c>
      <c r="F8" s="2"/>
      <c r="G8" s="2" t="s">
        <v>18</v>
      </c>
      <c r="H8" s="11">
        <f>DEGREES($B$8*$B$5)</f>
        <v>9.5492965855137193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 t="str">
        <f>IF(E6="","",IFERROR(INDEX($F$15:$F$64,MATCH(E6,$A$15:$A$64,0)),""))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 t="str">
        <f>IF(E6="","",IFERROR(INDEX($K$15:$K$64,MATCH(E6,$A$15:$A$64,0)),""))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31">
        <v>46306</v>
      </c>
      <c r="C15" s="16">
        <v>11.43</v>
      </c>
      <c r="D15" s="17">
        <f>IF(OR(B15&lt;&gt;"",C15&lt;&gt;"",F15&lt;&gt;"",H15&lt;&gt;"",I15&lt;&gt;""),$B$7,"")</f>
        <v>6000</v>
      </c>
      <c r="E15" s="18">
        <f t="shared" ref="E15:E64" si="0">IF(D15="","",1/D15)</f>
        <v>1.6666666666666666E-4</v>
      </c>
      <c r="F15" s="19">
        <v>-5.625</v>
      </c>
      <c r="G15" s="20">
        <f>IF(F15="","",F15-$B$4)</f>
        <v>3.9000225099999994</v>
      </c>
      <c r="H15" s="21">
        <v>1000.4</v>
      </c>
      <c r="I15" s="19">
        <v>3.1</v>
      </c>
      <c r="J15" s="20">
        <f t="shared" ref="J15:J64" si="1">IF(OR(E15="",H15=""),"",DEGREES(E15*H15))</f>
        <v>9.5531163041479257</v>
      </c>
      <c r="K15" s="18">
        <f t="shared" ref="K15:K64" si="2">IF(OR(H15="",I15="",H15=0),"",RADIANS(I15)/H15)</f>
        <v>5.4083573382471227E-5</v>
      </c>
      <c r="L15" s="22">
        <f t="shared" ref="L15:L64" si="3">IF(OR(K15="",E15="",E15=0),"",(ABS(K15)-ABS(E15))/ABS(E15))</f>
        <v>-0.67549855970517259</v>
      </c>
      <c r="M15" s="17">
        <f t="shared" ref="M15:M64" si="4">IF(OR(K15="",K15=0),"",1/K15)</f>
        <v>18489.902524157274</v>
      </c>
      <c r="N15" s="14" t="str">
        <f t="shared" ref="N15:N64" si="5">IF(OR(K15="",E15=""),"",IF(SIGN(K15)&lt;&gt;SIGN(E15),"WRONG SIGN",IF(ABS(L15)&lt;=$B$9,"ACCEPT",IF(ABS(K15)&lt;ABS(E15),"UNDER","OVER"))))</f>
        <v>UNDER</v>
      </c>
      <c r="O15" s="15"/>
      <c r="P15" s="2"/>
      <c r="Q15" s="11">
        <f>IF(F15="","",F15)</f>
        <v>-5.625</v>
      </c>
      <c r="R15" s="11">
        <f t="shared" ref="R15:R64" si="6">IF(K15="","",ABS(K15)*1000)</f>
        <v>5.4083573382471224E-2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/>
      <c r="C16" s="16"/>
      <c r="D16" s="17" t="str">
        <f>IF(OR(B16&lt;&gt;"",C16&lt;&gt;"",F16&lt;&gt;"",H16&lt;&gt;"",I16&lt;&gt;""),$B$7,"")</f>
        <v/>
      </c>
      <c r="E16" s="18" t="str">
        <f t="shared" si="0"/>
        <v/>
      </c>
      <c r="F16" s="19"/>
      <c r="G16" s="20" t="str">
        <f>IF(F16="","",F16-$B$4)</f>
        <v/>
      </c>
      <c r="H16" s="21"/>
      <c r="I16" s="19"/>
      <c r="J16" s="20" t="str">
        <f>IF(OR(E16="",H16=""),"",DEGREES(E16*H16))</f>
        <v/>
      </c>
      <c r="K16" s="18" t="str">
        <f>IF(OR(H16="",I16="",H16=0),"",RADIANS(I16)/H16)</f>
        <v/>
      </c>
      <c r="L16" s="22" t="str">
        <f t="shared" si="3"/>
        <v/>
      </c>
      <c r="M16" s="17" t="str">
        <f t="shared" si="4"/>
        <v/>
      </c>
      <c r="N16" s="14" t="str">
        <f t="shared" si="5"/>
        <v/>
      </c>
      <c r="O16" s="15"/>
      <c r="P16" s="2"/>
      <c r="Q16" s="11" t="str">
        <f>IF(F16="","",F16)</f>
        <v/>
      </c>
      <c r="R16" s="11" t="str">
        <f t="shared" si="6"/>
        <v/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/>
      <c r="D17" s="17" t="str">
        <f>IF(OR(B17&lt;&gt;"",C17&lt;&gt;"",F17&lt;&gt;"",H17&lt;&gt;"",I17&lt;&gt;""),$B$7,"")</f>
        <v/>
      </c>
      <c r="E17" s="18" t="str">
        <f t="shared" si="0"/>
        <v/>
      </c>
      <c r="F17" s="19"/>
      <c r="G17" s="20" t="str">
        <f t="shared" ref="G17:G64" si="7">IF(F17="","",F17-$B$4)</f>
        <v/>
      </c>
      <c r="H17" s="21"/>
      <c r="I17" s="19"/>
      <c r="J17" s="20" t="str">
        <f>IF(OR(E17="",H17=""),"",DEGREES(E17*H17))</f>
        <v/>
      </c>
      <c r="K17" s="18" t="str">
        <f>IF(OR(H17="",I17="",H17=0),"",RADIANS(I17)/H17)</f>
        <v/>
      </c>
      <c r="L17" s="22" t="str">
        <f t="shared" si="3"/>
        <v/>
      </c>
      <c r="M17" s="17" t="str">
        <f t="shared" si="4"/>
        <v/>
      </c>
      <c r="N17" s="14" t="str">
        <f t="shared" si="5"/>
        <v/>
      </c>
      <c r="O17" s="15"/>
      <c r="P17" s="2"/>
      <c r="Q17" s="11" t="str">
        <f t="shared" ref="Q17:Q64" si="8">IF(F17="","",F17)</f>
        <v/>
      </c>
      <c r="R17" s="11" t="str">
        <f t="shared" si="6"/>
        <v/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 t="str">
        <f t="shared" ref="D18:D64" si="9">IF(OR(B18&lt;&gt;"",C18&lt;&gt;"",F18&lt;&gt;"",H18&lt;&gt;"",I18&lt;&gt;""),$B$7,"")</f>
        <v/>
      </c>
      <c r="E18" s="18" t="str">
        <f t="shared" si="0"/>
        <v/>
      </c>
      <c r="F18" s="19"/>
      <c r="G18" s="20" t="str">
        <f t="shared" si="7"/>
        <v/>
      </c>
      <c r="H18" s="21"/>
      <c r="I18" s="19"/>
      <c r="J18" s="20" t="str">
        <f t="shared" si="1"/>
        <v/>
      </c>
      <c r="K18" s="18" t="str">
        <f t="shared" si="2"/>
        <v/>
      </c>
      <c r="L18" s="22" t="str">
        <f t="shared" si="3"/>
        <v/>
      </c>
      <c r="M18" s="17" t="str">
        <f t="shared" si="4"/>
        <v/>
      </c>
      <c r="N18" s="14" t="str">
        <f t="shared" si="5"/>
        <v/>
      </c>
      <c r="O18" s="15"/>
      <c r="P18" s="2"/>
      <c r="Q18" s="11" t="str">
        <f t="shared" si="8"/>
        <v/>
      </c>
      <c r="R18" s="11" t="str">
        <f t="shared" si="6"/>
        <v/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 t="str">
        <f t="shared" si="9"/>
        <v/>
      </c>
      <c r="E19" s="18" t="str">
        <f t="shared" si="0"/>
        <v/>
      </c>
      <c r="F19" s="19"/>
      <c r="G19" s="20" t="str">
        <f t="shared" si="7"/>
        <v/>
      </c>
      <c r="H19" s="21"/>
      <c r="I19" s="19"/>
      <c r="J19" s="20" t="str">
        <f t="shared" si="1"/>
        <v/>
      </c>
      <c r="K19" s="18" t="str">
        <f t="shared" si="2"/>
        <v/>
      </c>
      <c r="L19" s="22" t="str">
        <f t="shared" si="3"/>
        <v/>
      </c>
      <c r="M19" s="17" t="str">
        <f t="shared" si="4"/>
        <v/>
      </c>
      <c r="N19" s="14" t="str">
        <f t="shared" si="5"/>
        <v/>
      </c>
      <c r="O19" s="15"/>
      <c r="P19" s="2"/>
      <c r="Q19" s="11" t="str">
        <f t="shared" si="8"/>
        <v/>
      </c>
      <c r="R19" s="11" t="str">
        <f t="shared" si="6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3" priority="1">
      <formula>N15="ACCEPT"</formula>
    </cfRule>
    <cfRule type="expression" dxfId="2" priority="2">
      <formula>N15="UNDER"</formula>
    </cfRule>
    <cfRule type="expression" dxfId="1" priority="3">
      <formula>N15="OVER"</formula>
    </cfRule>
    <cfRule type="expression" dxfId="0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2879-FC36-4DCB-934A-5F5BAECE94C5}">
  <dimension ref="A1:X64"/>
  <sheetViews>
    <sheetView zoomScale="75" workbookViewId="0">
      <selection activeCell="E7" sqref="E7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>
        <v>1</v>
      </c>
      <c r="F5" s="2"/>
      <c r="G5" s="2" t="s">
        <v>9</v>
      </c>
      <c r="H5" s="9">
        <f>IF(OR(E7="",E8="",E9="",E10="",E10=E8),"",E7+($B$8-E8)/(E10-E8)*(E9-E7))</f>
        <v>-22.287946165982817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2</v>
      </c>
      <c r="F6" s="2"/>
      <c r="G6" s="2" t="s">
        <v>12</v>
      </c>
      <c r="H6" s="9">
        <f>IF(H5="","",ROUND(H5,1))</f>
        <v>-22.3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1500</v>
      </c>
      <c r="C7" s="2"/>
      <c r="D7" s="2" t="s">
        <v>14</v>
      </c>
      <c r="E7" s="2">
        <f>IF(E5="","",IFERROR(INDEX($F$15:$F$64,MATCH(E5,$A$15:$A$64,0)),""))</f>
        <v>-20.5</v>
      </c>
      <c r="F7" s="2"/>
      <c r="G7" s="2" t="s">
        <v>15</v>
      </c>
      <c r="H7" s="10">
        <f>$B$8</f>
        <v>6.6666666666666664E-4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6.6666666666666664E-4</v>
      </c>
      <c r="C8" s="2"/>
      <c r="D8" s="2" t="s">
        <v>17</v>
      </c>
      <c r="E8" s="2">
        <f>IF(E5="","",IFERROR(INDEX($K$15:$K$64,MATCH(E5,$A$15:$A$64,0)),""))</f>
        <v>6.1125774102829898E-4</v>
      </c>
      <c r="F8" s="2"/>
      <c r="G8" s="2" t="s">
        <v>18</v>
      </c>
      <c r="H8" s="11">
        <f>DEGREES($B$8*$B$5)</f>
        <v>38.197186342054877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-22.5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6.7323827119477621E-4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>IF(OR(B15&lt;&gt;"",C15&lt;&gt;"",F15&lt;&gt;"",H15&lt;&gt;"",I15&lt;&gt;""),$B$7,"")</f>
        <v>1500</v>
      </c>
      <c r="E15" s="18">
        <f t="shared" ref="E15:E64" si="0">IF(D15="","",1/D15)</f>
        <v>6.6666666666666664E-4</v>
      </c>
      <c r="F15" s="19">
        <v>-20.5</v>
      </c>
      <c r="G15" s="20">
        <f>IF(F15="","",F15-$B$4)</f>
        <v>-10.974977490000001</v>
      </c>
      <c r="H15" s="21">
        <v>1000.5</v>
      </c>
      <c r="I15" s="19">
        <v>35.04</v>
      </c>
      <c r="J15" s="20">
        <f t="shared" ref="J15:J64" si="1">IF(OR(E15="",H15=""),"",DEGREES(E15*H15))</f>
        <v>38.216284935225907</v>
      </c>
      <c r="K15" s="18">
        <f t="shared" ref="K15:K64" si="2">IF(OR(H15="",I15="",H15=0),"",RADIANS(I15)/H15)</f>
        <v>6.1125774102829898E-4</v>
      </c>
      <c r="L15" s="22">
        <f t="shared" ref="L15:L64" si="3">IF(OR(K15="",E15="",E15=0),"",(ABS(K15)-ABS(E15))/ABS(E15))</f>
        <v>-8.3113388457551507E-2</v>
      </c>
      <c r="M15" s="17">
        <f t="shared" ref="M15:M64" si="4">IF(OR(K15="",K15=0),"",1/K15)</f>
        <v>1635.9711016791912</v>
      </c>
      <c r="N15" s="14" t="str">
        <f t="shared" ref="N15:N64" si="5">IF(OR(K15="",E15=""),"",IF(SIGN(K15)&lt;&gt;SIGN(E15),"WRONG SIGN",IF(ABS(L15)&lt;=$B$9,"ACCEPT",IF(ABS(K15)&lt;ABS(E15),"UNDER","OVER"))))</f>
        <v>UNDER</v>
      </c>
      <c r="O15" s="15"/>
      <c r="P15" s="2"/>
      <c r="Q15" s="11">
        <f>IF(F15="","",F15)</f>
        <v>-20.5</v>
      </c>
      <c r="R15" s="11">
        <f t="shared" ref="R15:R64" si="6">IF(K15="","",ABS(K15)*1000)</f>
        <v>0.611257741028299</v>
      </c>
      <c r="S15" s="2"/>
      <c r="T15" s="2"/>
      <c r="U15" s="2"/>
      <c r="V15" s="2"/>
      <c r="W15" s="2"/>
      <c r="X15" s="2"/>
    </row>
    <row r="16" spans="1:24" ht="14.1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1500</v>
      </c>
      <c r="E16" s="18">
        <f t="shared" si="0"/>
        <v>6.6666666666666664E-4</v>
      </c>
      <c r="F16" s="19">
        <v>-22.5</v>
      </c>
      <c r="G16" s="20">
        <f>IF(F16="","",F16-$B$4)</f>
        <v>-12.974977490000001</v>
      </c>
      <c r="H16" s="21">
        <v>1001.2</v>
      </c>
      <c r="I16" s="19">
        <v>38.619999999999997</v>
      </c>
      <c r="J16" s="20">
        <f>IF(OR(E16="",H16=""),"",DEGREES(E16*H16))</f>
        <v>38.243022965665347</v>
      </c>
      <c r="K16" s="18">
        <f>IF(OR(H16="",I16="",H16=0),"",RADIANS(I16)/H16)</f>
        <v>6.7323827119477621E-4</v>
      </c>
      <c r="L16" s="22">
        <f t="shared" si="3"/>
        <v>9.8574067921643506E-3</v>
      </c>
      <c r="M16" s="17">
        <f t="shared" si="4"/>
        <v>1485.3582197953917</v>
      </c>
      <c r="N16" s="14" t="str">
        <f t="shared" si="5"/>
        <v>ACCEPT</v>
      </c>
      <c r="O16" s="15"/>
      <c r="P16" s="2"/>
      <c r="Q16" s="11">
        <f>IF(F16="","",F16)</f>
        <v>-22.5</v>
      </c>
      <c r="R16" s="11">
        <f t="shared" si="6"/>
        <v>0.67323827119477619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>IF(OR(B17&lt;&gt;"",C17&lt;&gt;"",F17&lt;&gt;"",H17&lt;&gt;"",I17&lt;&gt;""),$B$7,"")</f>
        <v>1500</v>
      </c>
      <c r="E17" s="18">
        <f t="shared" si="0"/>
        <v>6.6666666666666664E-4</v>
      </c>
      <c r="F17" s="19"/>
      <c r="G17" s="20" t="str">
        <f t="shared" ref="G17:G64" si="7">IF(F17="","",F17-$B$4)</f>
        <v/>
      </c>
      <c r="H17" s="21"/>
      <c r="I17" s="19"/>
      <c r="J17" s="20" t="str">
        <f>IF(OR(E17="",H17=""),"",DEGREES(E17*H17))</f>
        <v/>
      </c>
      <c r="K17" s="18" t="str">
        <f>IF(OR(H17="",I17="",H17=0),"",RADIANS(I17)/H17)</f>
        <v/>
      </c>
      <c r="L17" s="22" t="str">
        <f t="shared" si="3"/>
        <v/>
      </c>
      <c r="M17" s="17" t="str">
        <f t="shared" si="4"/>
        <v/>
      </c>
      <c r="N17" s="14" t="str">
        <f t="shared" si="5"/>
        <v/>
      </c>
      <c r="O17" s="15"/>
      <c r="P17" s="2"/>
      <c r="Q17" s="11" t="str">
        <f t="shared" ref="Q17:Q64" si="8">IF(F17="","",F17)</f>
        <v/>
      </c>
      <c r="R17" s="11" t="str">
        <f t="shared" si="6"/>
        <v/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/>
      <c r="D18" s="17" t="str">
        <f t="shared" ref="D18:D64" si="9">IF(OR(B18&lt;&gt;"",C18&lt;&gt;"",F18&lt;&gt;"",H18&lt;&gt;"",I18&lt;&gt;""),$B$7,"")</f>
        <v/>
      </c>
      <c r="E18" s="18" t="str">
        <f t="shared" si="0"/>
        <v/>
      </c>
      <c r="F18" s="19"/>
      <c r="G18" s="20" t="str">
        <f t="shared" si="7"/>
        <v/>
      </c>
      <c r="H18" s="21"/>
      <c r="I18" s="19"/>
      <c r="J18" s="20" t="str">
        <f t="shared" si="1"/>
        <v/>
      </c>
      <c r="K18" s="18" t="str">
        <f t="shared" si="2"/>
        <v/>
      </c>
      <c r="L18" s="22" t="str">
        <f t="shared" si="3"/>
        <v/>
      </c>
      <c r="M18" s="17" t="str">
        <f t="shared" si="4"/>
        <v/>
      </c>
      <c r="N18" s="14" t="str">
        <f t="shared" si="5"/>
        <v/>
      </c>
      <c r="O18" s="15"/>
      <c r="P18" s="2"/>
      <c r="Q18" s="11" t="str">
        <f t="shared" si="8"/>
        <v/>
      </c>
      <c r="R18" s="11" t="str">
        <f t="shared" si="6"/>
        <v/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9"/>
        <v/>
      </c>
      <c r="E19" s="18" t="str">
        <f t="shared" si="0"/>
        <v/>
      </c>
      <c r="F19" s="19"/>
      <c r="G19" s="20" t="str">
        <f t="shared" si="7"/>
        <v/>
      </c>
      <c r="H19" s="21"/>
      <c r="I19" s="19"/>
      <c r="J19" s="20" t="str">
        <f t="shared" si="1"/>
        <v/>
      </c>
      <c r="K19" s="18" t="str">
        <f t="shared" si="2"/>
        <v/>
      </c>
      <c r="L19" s="22" t="str">
        <f t="shared" si="3"/>
        <v/>
      </c>
      <c r="M19" s="17" t="str">
        <f t="shared" si="4"/>
        <v/>
      </c>
      <c r="N19" s="14" t="str">
        <f t="shared" si="5"/>
        <v/>
      </c>
      <c r="O19" s="15"/>
      <c r="P19" s="2"/>
      <c r="Q19" s="11" t="str">
        <f t="shared" si="8"/>
        <v/>
      </c>
      <c r="R19" s="11" t="str">
        <f t="shared" si="6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39" priority="1">
      <formula>N15="ACCEPT"</formula>
    </cfRule>
    <cfRule type="expression" dxfId="38" priority="2">
      <formula>N15="UNDER"</formula>
    </cfRule>
    <cfRule type="expression" dxfId="37" priority="3">
      <formula>N15="OVER"</formula>
    </cfRule>
    <cfRule type="expression" dxfId="36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130C-AED9-46DF-94B9-DA1AE0446B3F}">
  <dimension ref="A1:X64"/>
  <sheetViews>
    <sheetView topLeftCell="A2" zoomScale="75" workbookViewId="0">
      <selection activeCell="I18" sqref="I18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500</v>
      </c>
      <c r="C5" s="2"/>
      <c r="D5" s="2" t="s">
        <v>8</v>
      </c>
      <c r="E5" s="8">
        <v>2</v>
      </c>
      <c r="F5" s="2"/>
      <c r="G5" s="2" t="s">
        <v>9</v>
      </c>
      <c r="H5" s="9">
        <f>IF(OR(E7="",E8="",E9="",E10="",E10=E8),"",E7+($B$8-E8)/(E10-E8)*(E9-E7))</f>
        <v>59.733735790829101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1</v>
      </c>
      <c r="F6" s="2"/>
      <c r="G6" s="2" t="s">
        <v>12</v>
      </c>
      <c r="H6" s="9">
        <f>IF(H5="","",ROUND(H5,1))</f>
        <v>59.7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-400</v>
      </c>
      <c r="C7" s="2"/>
      <c r="D7" s="2" t="s">
        <v>14</v>
      </c>
      <c r="E7" s="2">
        <f>IF(E5="","",IFERROR(INDEX($F$15:$F$64,MATCH(E5,$A$15:$A$64,0)),""))</f>
        <v>59.5</v>
      </c>
      <c r="F7" s="2"/>
      <c r="G7" s="2" t="s">
        <v>15</v>
      </c>
      <c r="H7" s="10">
        <f>$B$8</f>
        <v>-2.5000000000000001E-3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-2.5000000000000001E-3</v>
      </c>
      <c r="C8" s="2"/>
      <c r="D8" s="2" t="s">
        <v>17</v>
      </c>
      <c r="E8" s="2">
        <f>IF(E5="","",IFERROR(INDEX($K$15:$K$64,MATCH(E5,$A$15:$A$64,0)),""))</f>
        <v>-2.4730723273268954E-3</v>
      </c>
      <c r="F8" s="2"/>
      <c r="G8" s="2" t="s">
        <v>18</v>
      </c>
      <c r="H8" s="11">
        <f>DEGREES($B$8*$B$5)</f>
        <v>-71.619724391352904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60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-2.5306751287155647E-3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 ht="14.1">
      <c r="A15" s="14">
        <v>1</v>
      </c>
      <c r="B15" s="15"/>
      <c r="C15" s="16">
        <v>10.55</v>
      </c>
      <c r="D15" s="17">
        <f>IF(OR(B15&lt;&gt;"",C15&lt;&gt;"",F15&lt;&gt;"",H15&lt;&gt;"",I15&lt;&gt;""),$B$7,"")</f>
        <v>-400</v>
      </c>
      <c r="E15" s="18">
        <f t="shared" ref="E15:E64" si="0">IF(D15="","",1/D15)</f>
        <v>-2.5000000000000001E-3</v>
      </c>
      <c r="F15" s="19">
        <v>60</v>
      </c>
      <c r="G15" s="20">
        <f>IF(F15="","",F15-$B$4)</f>
        <v>69.525022509999999</v>
      </c>
      <c r="H15" s="21">
        <v>500.7</v>
      </c>
      <c r="I15" s="19">
        <v>-72.599999999999994</v>
      </c>
      <c r="J15" s="20">
        <f t="shared" ref="J15:J64" si="1">IF(OR(E15="",H15=""),"",DEGREES(E15*H15))</f>
        <v>-71.719992005500799</v>
      </c>
      <c r="K15" s="18">
        <f t="shared" ref="K15:K64" si="2">IF(OR(H15="",I15="",H15=0),"",RADIANS(I15)/H15)</f>
        <v>-2.5306751287155647E-3</v>
      </c>
      <c r="L15" s="22">
        <f t="shared" ref="L15:L64" si="3">IF(OR(K15="",E15="",E15=0),"",(ABS(K15)-ABS(E15))/ABS(E15))</f>
        <v>1.2270051486225862E-2</v>
      </c>
      <c r="M15" s="17">
        <f t="shared" ref="M15:M64" si="4">IF(OR(K15="",K15=0),"",1/K15)</f>
        <v>-395.15147110468757</v>
      </c>
      <c r="N15" s="14" t="str">
        <f t="shared" ref="N15:N64" si="5">IF(OR(K15="",E15=""),"",IF(SIGN(K15)&lt;&gt;SIGN(E15),"WRONG SIGN",IF(ABS(L15)&lt;=$B$9,"ACCEPT",IF(ABS(K15)&lt;ABS(E15),"UNDER","OVER"))))</f>
        <v>ACCEPT</v>
      </c>
      <c r="O15" s="15"/>
      <c r="P15" s="2"/>
      <c r="Q15" s="11">
        <f>IF(F15="","",F15)</f>
        <v>60</v>
      </c>
      <c r="R15" s="11">
        <f t="shared" ref="R15:R64" si="6">IF(K15="","",ABS(K15)*1000)</f>
        <v>2.5306751287155649</v>
      </c>
      <c r="S15" s="2"/>
      <c r="T15" s="2"/>
      <c r="U15" s="2"/>
      <c r="V15" s="2"/>
      <c r="W15" s="2"/>
      <c r="X15" s="2"/>
    </row>
    <row r="16" spans="1:24" ht="14.1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-400</v>
      </c>
      <c r="E16" s="18">
        <f t="shared" si="0"/>
        <v>-2.5000000000000001E-3</v>
      </c>
      <c r="F16" s="19">
        <v>59.5</v>
      </c>
      <c r="G16" s="20">
        <f>IF(F16="","",F16-$B$4)</f>
        <v>69.025022509999999</v>
      </c>
      <c r="H16" s="21">
        <v>501</v>
      </c>
      <c r="I16" s="19">
        <v>-70.989999999999995</v>
      </c>
      <c r="J16" s="20">
        <f>IF(OR(E16="",H16=""),"",DEGREES(E16*H16))</f>
        <v>-71.762963840135612</v>
      </c>
      <c r="K16" s="18">
        <f>IF(OR(H16="",I16="",H16=0),"",RADIANS(I16)/H16)</f>
        <v>-2.4730723273268954E-3</v>
      </c>
      <c r="L16" s="22">
        <f t="shared" si="3"/>
        <v>-1.0771069069241863E-2</v>
      </c>
      <c r="M16" s="17">
        <f t="shared" si="4"/>
        <v>-404.35533928798765</v>
      </c>
      <c r="N16" s="14" t="str">
        <f t="shared" si="5"/>
        <v>ACCEPT</v>
      </c>
      <c r="O16" s="15"/>
      <c r="P16" s="2"/>
      <c r="Q16" s="11">
        <f>IF(F16="","",F16)</f>
        <v>59.5</v>
      </c>
      <c r="R16" s="11">
        <f t="shared" si="6"/>
        <v>2.4730723273268955</v>
      </c>
      <c r="S16" s="2"/>
      <c r="T16" s="2"/>
      <c r="U16" s="2"/>
      <c r="V16" s="2"/>
      <c r="W16" s="2"/>
      <c r="X16" s="2"/>
    </row>
    <row r="17" spans="1:24" ht="14.1">
      <c r="A17" s="14">
        <v>3</v>
      </c>
      <c r="B17" s="15"/>
      <c r="C17" s="16">
        <v>10.55</v>
      </c>
      <c r="D17" s="17">
        <f>IF(OR(B17&lt;&gt;"",C17&lt;&gt;"",F17&lt;&gt;"",H17&lt;&gt;"",I17&lt;&gt;""),$B$7,"")</f>
        <v>-400</v>
      </c>
      <c r="E17" s="18">
        <f t="shared" si="0"/>
        <v>-2.5000000000000001E-3</v>
      </c>
      <c r="F17" s="19">
        <v>59.7</v>
      </c>
      <c r="G17" s="20">
        <f t="shared" ref="G17:G64" si="7">IF(F17="","",F17-$B$4)</f>
        <v>69.225022510000002</v>
      </c>
      <c r="H17" s="21">
        <v>500.8</v>
      </c>
      <c r="I17" s="19">
        <v>-71.25</v>
      </c>
      <c r="J17" s="20">
        <f>IF(OR(E17="",H17=""),"",DEGREES(E17*H17))</f>
        <v>-71.73431595037907</v>
      </c>
      <c r="K17" s="18">
        <f>IF(OR(H17="",I17="",H17=0),"",RADIANS(I17)/H17)</f>
        <v>-2.4831211901876192E-3</v>
      </c>
      <c r="L17" s="22">
        <f t="shared" si="3"/>
        <v>-6.7515239249523601E-3</v>
      </c>
      <c r="M17" s="17">
        <f t="shared" si="4"/>
        <v>-402.71896673897027</v>
      </c>
      <c r="N17" s="14" t="str">
        <f t="shared" si="5"/>
        <v>ACCEPT</v>
      </c>
      <c r="O17" s="15"/>
      <c r="P17" s="2"/>
      <c r="Q17" s="11">
        <f t="shared" ref="Q17:Q64" si="8">IF(F17="","",F17)</f>
        <v>59.7</v>
      </c>
      <c r="R17" s="11">
        <f t="shared" si="6"/>
        <v>2.4831211901876191</v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/>
      <c r="D18" s="17" t="str">
        <f t="shared" ref="D18:D64" si="9">IF(OR(B18&lt;&gt;"",C18&lt;&gt;"",F18&lt;&gt;"",H18&lt;&gt;"",I18&lt;&gt;""),$B$7,"")</f>
        <v/>
      </c>
      <c r="E18" s="18" t="str">
        <f t="shared" si="0"/>
        <v/>
      </c>
      <c r="F18" s="19"/>
      <c r="G18" s="20" t="str">
        <f t="shared" si="7"/>
        <v/>
      </c>
      <c r="H18" s="21"/>
      <c r="I18" s="19"/>
      <c r="J18" s="20" t="str">
        <f t="shared" si="1"/>
        <v/>
      </c>
      <c r="K18" s="18" t="str">
        <f t="shared" si="2"/>
        <v/>
      </c>
      <c r="L18" s="22" t="str">
        <f t="shared" si="3"/>
        <v/>
      </c>
      <c r="M18" s="17" t="str">
        <f t="shared" si="4"/>
        <v/>
      </c>
      <c r="N18" s="14" t="str">
        <f t="shared" si="5"/>
        <v/>
      </c>
      <c r="O18" s="15"/>
      <c r="P18" s="2"/>
      <c r="Q18" s="11" t="str">
        <f t="shared" si="8"/>
        <v/>
      </c>
      <c r="R18" s="11" t="str">
        <f t="shared" si="6"/>
        <v/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9"/>
        <v/>
      </c>
      <c r="E19" s="18" t="str">
        <f t="shared" si="0"/>
        <v/>
      </c>
      <c r="F19" s="19"/>
      <c r="G19" s="20" t="str">
        <f t="shared" si="7"/>
        <v/>
      </c>
      <c r="H19" s="21"/>
      <c r="I19" s="19"/>
      <c r="J19" s="20" t="str">
        <f t="shared" si="1"/>
        <v/>
      </c>
      <c r="K19" s="18" t="str">
        <f t="shared" si="2"/>
        <v/>
      </c>
      <c r="L19" s="22" t="str">
        <f t="shared" si="3"/>
        <v/>
      </c>
      <c r="M19" s="17" t="str">
        <f t="shared" si="4"/>
        <v/>
      </c>
      <c r="N19" s="14" t="str">
        <f t="shared" si="5"/>
        <v/>
      </c>
      <c r="O19" s="15"/>
      <c r="P19" s="2"/>
      <c r="Q19" s="11" t="str">
        <f t="shared" si="8"/>
        <v/>
      </c>
      <c r="R19" s="11" t="str">
        <f t="shared" si="6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9"/>
        <v/>
      </c>
      <c r="E20" s="18" t="str">
        <f t="shared" si="0"/>
        <v/>
      </c>
      <c r="F20" s="19"/>
      <c r="G20" s="20" t="str">
        <f t="shared" si="7"/>
        <v/>
      </c>
      <c r="H20" s="21"/>
      <c r="I20" s="19"/>
      <c r="J20" s="20" t="str">
        <f t="shared" si="1"/>
        <v/>
      </c>
      <c r="K20" s="18" t="str">
        <f t="shared" si="2"/>
        <v/>
      </c>
      <c r="L20" s="22" t="str">
        <f t="shared" si="3"/>
        <v/>
      </c>
      <c r="M20" s="17" t="str">
        <f t="shared" si="4"/>
        <v/>
      </c>
      <c r="N20" s="14" t="str">
        <f t="shared" si="5"/>
        <v/>
      </c>
      <c r="O20" s="15"/>
      <c r="P20" s="2"/>
      <c r="Q20" s="11" t="str">
        <f t="shared" si="8"/>
        <v/>
      </c>
      <c r="R20" s="11" t="str">
        <f t="shared" si="6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9"/>
        <v/>
      </c>
      <c r="E21" s="18" t="str">
        <f t="shared" si="0"/>
        <v/>
      </c>
      <c r="F21" s="19"/>
      <c r="G21" s="20" t="str">
        <f t="shared" si="7"/>
        <v/>
      </c>
      <c r="H21" s="21"/>
      <c r="I21" s="19"/>
      <c r="J21" s="20" t="str">
        <f t="shared" si="1"/>
        <v/>
      </c>
      <c r="K21" s="18" t="str">
        <f t="shared" si="2"/>
        <v/>
      </c>
      <c r="L21" s="22" t="str">
        <f t="shared" si="3"/>
        <v/>
      </c>
      <c r="M21" s="17" t="str">
        <f t="shared" si="4"/>
        <v/>
      </c>
      <c r="N21" s="14" t="str">
        <f t="shared" si="5"/>
        <v/>
      </c>
      <c r="O21" s="15"/>
      <c r="P21" s="2"/>
      <c r="Q21" s="11" t="str">
        <f t="shared" si="8"/>
        <v/>
      </c>
      <c r="R21" s="11" t="str">
        <f t="shared" si="6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9"/>
        <v/>
      </c>
      <c r="E22" s="18" t="str">
        <f t="shared" si="0"/>
        <v/>
      </c>
      <c r="F22" s="19"/>
      <c r="G22" s="20" t="str">
        <f t="shared" si="7"/>
        <v/>
      </c>
      <c r="H22" s="21"/>
      <c r="I22" s="19"/>
      <c r="J22" s="20" t="str">
        <f t="shared" si="1"/>
        <v/>
      </c>
      <c r="K22" s="18" t="str">
        <f t="shared" si="2"/>
        <v/>
      </c>
      <c r="L22" s="22" t="str">
        <f t="shared" si="3"/>
        <v/>
      </c>
      <c r="M22" s="17" t="str">
        <f t="shared" si="4"/>
        <v/>
      </c>
      <c r="N22" s="14" t="str">
        <f t="shared" si="5"/>
        <v/>
      </c>
      <c r="O22" s="15"/>
      <c r="P22" s="2"/>
      <c r="Q22" s="11" t="str">
        <f t="shared" si="8"/>
        <v/>
      </c>
      <c r="R22" s="11" t="str">
        <f t="shared" si="6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9"/>
        <v/>
      </c>
      <c r="E23" s="18" t="str">
        <f t="shared" si="0"/>
        <v/>
      </c>
      <c r="F23" s="19"/>
      <c r="G23" s="20" t="str">
        <f t="shared" si="7"/>
        <v/>
      </c>
      <c r="H23" s="21"/>
      <c r="I23" s="19"/>
      <c r="J23" s="20" t="str">
        <f t="shared" si="1"/>
        <v/>
      </c>
      <c r="K23" s="18" t="str">
        <f t="shared" si="2"/>
        <v/>
      </c>
      <c r="L23" s="22" t="str">
        <f t="shared" si="3"/>
        <v/>
      </c>
      <c r="M23" s="17" t="str">
        <f t="shared" si="4"/>
        <v/>
      </c>
      <c r="N23" s="14" t="str">
        <f t="shared" si="5"/>
        <v/>
      </c>
      <c r="O23" s="15"/>
      <c r="P23" s="2"/>
      <c r="Q23" s="11" t="str">
        <f t="shared" si="8"/>
        <v/>
      </c>
      <c r="R23" s="11" t="str">
        <f t="shared" si="6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9"/>
        <v/>
      </c>
      <c r="E24" s="18" t="str">
        <f t="shared" si="0"/>
        <v/>
      </c>
      <c r="F24" s="19"/>
      <c r="G24" s="20" t="str">
        <f t="shared" si="7"/>
        <v/>
      </c>
      <c r="H24" s="21"/>
      <c r="I24" s="19"/>
      <c r="J24" s="20" t="str">
        <f t="shared" si="1"/>
        <v/>
      </c>
      <c r="K24" s="18" t="str">
        <f t="shared" si="2"/>
        <v/>
      </c>
      <c r="L24" s="22" t="str">
        <f t="shared" si="3"/>
        <v/>
      </c>
      <c r="M24" s="17" t="str">
        <f t="shared" si="4"/>
        <v/>
      </c>
      <c r="N24" s="14" t="str">
        <f t="shared" si="5"/>
        <v/>
      </c>
      <c r="O24" s="15"/>
      <c r="P24" s="2"/>
      <c r="Q24" s="11" t="str">
        <f t="shared" si="8"/>
        <v/>
      </c>
      <c r="R24" s="11" t="str">
        <f t="shared" si="6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9"/>
        <v/>
      </c>
      <c r="E25" s="18" t="str">
        <f t="shared" si="0"/>
        <v/>
      </c>
      <c r="F25" s="19"/>
      <c r="G25" s="20" t="str">
        <f t="shared" si="7"/>
        <v/>
      </c>
      <c r="H25" s="21"/>
      <c r="I25" s="19"/>
      <c r="J25" s="20" t="str">
        <f t="shared" si="1"/>
        <v/>
      </c>
      <c r="K25" s="18" t="str">
        <f t="shared" si="2"/>
        <v/>
      </c>
      <c r="L25" s="22" t="str">
        <f t="shared" si="3"/>
        <v/>
      </c>
      <c r="M25" s="17" t="str">
        <f t="shared" si="4"/>
        <v/>
      </c>
      <c r="N25" s="14" t="str">
        <f t="shared" si="5"/>
        <v/>
      </c>
      <c r="O25" s="15"/>
      <c r="P25" s="2"/>
      <c r="Q25" s="11" t="str">
        <f t="shared" si="8"/>
        <v/>
      </c>
      <c r="R25" s="11" t="str">
        <f t="shared" si="6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9"/>
        <v/>
      </c>
      <c r="E26" s="18" t="str">
        <f t="shared" si="0"/>
        <v/>
      </c>
      <c r="F26" s="19"/>
      <c r="G26" s="20" t="str">
        <f t="shared" si="7"/>
        <v/>
      </c>
      <c r="H26" s="21"/>
      <c r="I26" s="19"/>
      <c r="J26" s="20" t="str">
        <f t="shared" si="1"/>
        <v/>
      </c>
      <c r="K26" s="18" t="str">
        <f t="shared" si="2"/>
        <v/>
      </c>
      <c r="L26" s="22" t="str">
        <f t="shared" si="3"/>
        <v/>
      </c>
      <c r="M26" s="17" t="str">
        <f t="shared" si="4"/>
        <v/>
      </c>
      <c r="N26" s="14" t="str">
        <f t="shared" si="5"/>
        <v/>
      </c>
      <c r="O26" s="15"/>
      <c r="P26" s="2"/>
      <c r="Q26" s="11" t="str">
        <f t="shared" si="8"/>
        <v/>
      </c>
      <c r="R26" s="11" t="str">
        <f t="shared" si="6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9"/>
        <v/>
      </c>
      <c r="E27" s="18" t="str">
        <f t="shared" si="0"/>
        <v/>
      </c>
      <c r="F27" s="19"/>
      <c r="G27" s="20" t="str">
        <f t="shared" si="7"/>
        <v/>
      </c>
      <c r="H27" s="21"/>
      <c r="I27" s="19"/>
      <c r="J27" s="20" t="str">
        <f t="shared" si="1"/>
        <v/>
      </c>
      <c r="K27" s="18" t="str">
        <f t="shared" si="2"/>
        <v/>
      </c>
      <c r="L27" s="22" t="str">
        <f t="shared" si="3"/>
        <v/>
      </c>
      <c r="M27" s="17" t="str">
        <f t="shared" si="4"/>
        <v/>
      </c>
      <c r="N27" s="14" t="str">
        <f t="shared" si="5"/>
        <v/>
      </c>
      <c r="O27" s="15"/>
      <c r="P27" s="2"/>
      <c r="Q27" s="11" t="str">
        <f t="shared" si="8"/>
        <v/>
      </c>
      <c r="R27" s="11" t="str">
        <f t="shared" si="6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9"/>
        <v/>
      </c>
      <c r="E28" s="18" t="str">
        <f t="shared" si="0"/>
        <v/>
      </c>
      <c r="F28" s="19"/>
      <c r="G28" s="20" t="str">
        <f t="shared" si="7"/>
        <v/>
      </c>
      <c r="H28" s="21"/>
      <c r="I28" s="19"/>
      <c r="J28" s="20" t="str">
        <f t="shared" si="1"/>
        <v/>
      </c>
      <c r="K28" s="18" t="str">
        <f t="shared" si="2"/>
        <v/>
      </c>
      <c r="L28" s="22" t="str">
        <f t="shared" si="3"/>
        <v/>
      </c>
      <c r="M28" s="17" t="str">
        <f t="shared" si="4"/>
        <v/>
      </c>
      <c r="N28" s="14" t="str">
        <f t="shared" si="5"/>
        <v/>
      </c>
      <c r="O28" s="15"/>
      <c r="P28" s="2"/>
      <c r="Q28" s="11" t="str">
        <f t="shared" si="8"/>
        <v/>
      </c>
      <c r="R28" s="11" t="str">
        <f t="shared" si="6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9"/>
        <v/>
      </c>
      <c r="E29" s="18" t="str">
        <f t="shared" si="0"/>
        <v/>
      </c>
      <c r="F29" s="19"/>
      <c r="G29" s="20" t="str">
        <f t="shared" si="7"/>
        <v/>
      </c>
      <c r="H29" s="21"/>
      <c r="I29" s="19"/>
      <c r="J29" s="20" t="str">
        <f t="shared" si="1"/>
        <v/>
      </c>
      <c r="K29" s="18" t="str">
        <f t="shared" si="2"/>
        <v/>
      </c>
      <c r="L29" s="22" t="str">
        <f t="shared" si="3"/>
        <v/>
      </c>
      <c r="M29" s="17" t="str">
        <f t="shared" si="4"/>
        <v/>
      </c>
      <c r="N29" s="14" t="str">
        <f t="shared" si="5"/>
        <v/>
      </c>
      <c r="O29" s="15"/>
      <c r="P29" s="2"/>
      <c r="Q29" s="11" t="str">
        <f t="shared" si="8"/>
        <v/>
      </c>
      <c r="R29" s="11" t="str">
        <f t="shared" si="6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9"/>
        <v/>
      </c>
      <c r="E30" s="18" t="str">
        <f t="shared" si="0"/>
        <v/>
      </c>
      <c r="F30" s="19"/>
      <c r="G30" s="20" t="str">
        <f t="shared" si="7"/>
        <v/>
      </c>
      <c r="H30" s="21"/>
      <c r="I30" s="19"/>
      <c r="J30" s="20" t="str">
        <f t="shared" si="1"/>
        <v/>
      </c>
      <c r="K30" s="18" t="str">
        <f t="shared" si="2"/>
        <v/>
      </c>
      <c r="L30" s="22" t="str">
        <f t="shared" si="3"/>
        <v/>
      </c>
      <c r="M30" s="17" t="str">
        <f t="shared" si="4"/>
        <v/>
      </c>
      <c r="N30" s="14" t="str">
        <f t="shared" si="5"/>
        <v/>
      </c>
      <c r="O30" s="15"/>
      <c r="P30" s="2"/>
      <c r="Q30" s="11" t="str">
        <f t="shared" si="8"/>
        <v/>
      </c>
      <c r="R30" s="11" t="str">
        <f t="shared" si="6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9"/>
        <v/>
      </c>
      <c r="E31" s="18" t="str">
        <f t="shared" si="0"/>
        <v/>
      </c>
      <c r="F31" s="19"/>
      <c r="G31" s="20" t="str">
        <f t="shared" si="7"/>
        <v/>
      </c>
      <c r="H31" s="21"/>
      <c r="I31" s="19"/>
      <c r="J31" s="20" t="str">
        <f t="shared" si="1"/>
        <v/>
      </c>
      <c r="K31" s="18" t="str">
        <f t="shared" si="2"/>
        <v/>
      </c>
      <c r="L31" s="22" t="str">
        <f t="shared" si="3"/>
        <v/>
      </c>
      <c r="M31" s="17" t="str">
        <f t="shared" si="4"/>
        <v/>
      </c>
      <c r="N31" s="14" t="str">
        <f t="shared" si="5"/>
        <v/>
      </c>
      <c r="O31" s="15"/>
      <c r="P31" s="2"/>
      <c r="Q31" s="11" t="str">
        <f t="shared" si="8"/>
        <v/>
      </c>
      <c r="R31" s="11" t="str">
        <f t="shared" si="6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9"/>
        <v/>
      </c>
      <c r="E32" s="18" t="str">
        <f t="shared" si="0"/>
        <v/>
      </c>
      <c r="F32" s="19"/>
      <c r="G32" s="20" t="str">
        <f t="shared" si="7"/>
        <v/>
      </c>
      <c r="H32" s="21"/>
      <c r="I32" s="19"/>
      <c r="J32" s="20" t="str">
        <f t="shared" si="1"/>
        <v/>
      </c>
      <c r="K32" s="18" t="str">
        <f t="shared" si="2"/>
        <v/>
      </c>
      <c r="L32" s="22" t="str">
        <f t="shared" si="3"/>
        <v/>
      </c>
      <c r="M32" s="17" t="str">
        <f t="shared" si="4"/>
        <v/>
      </c>
      <c r="N32" s="14" t="str">
        <f t="shared" si="5"/>
        <v/>
      </c>
      <c r="O32" s="15"/>
      <c r="P32" s="2"/>
      <c r="Q32" s="11" t="str">
        <f t="shared" si="8"/>
        <v/>
      </c>
      <c r="R32" s="11" t="str">
        <f t="shared" si="6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9"/>
        <v/>
      </c>
      <c r="E33" s="18" t="str">
        <f t="shared" si="0"/>
        <v/>
      </c>
      <c r="F33" s="19"/>
      <c r="G33" s="20" t="str">
        <f t="shared" si="7"/>
        <v/>
      </c>
      <c r="H33" s="21"/>
      <c r="I33" s="19"/>
      <c r="J33" s="20" t="str">
        <f t="shared" si="1"/>
        <v/>
      </c>
      <c r="K33" s="18" t="str">
        <f t="shared" si="2"/>
        <v/>
      </c>
      <c r="L33" s="22" t="str">
        <f t="shared" si="3"/>
        <v/>
      </c>
      <c r="M33" s="17" t="str">
        <f t="shared" si="4"/>
        <v/>
      </c>
      <c r="N33" s="14" t="str">
        <f t="shared" si="5"/>
        <v/>
      </c>
      <c r="O33" s="15"/>
      <c r="P33" s="2"/>
      <c r="Q33" s="11" t="str">
        <f t="shared" si="8"/>
        <v/>
      </c>
      <c r="R33" s="11" t="str">
        <f t="shared" si="6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9"/>
        <v/>
      </c>
      <c r="E34" s="18" t="str">
        <f t="shared" si="0"/>
        <v/>
      </c>
      <c r="F34" s="19"/>
      <c r="G34" s="20" t="str">
        <f t="shared" si="7"/>
        <v/>
      </c>
      <c r="H34" s="21"/>
      <c r="I34" s="19"/>
      <c r="J34" s="20" t="str">
        <f t="shared" si="1"/>
        <v/>
      </c>
      <c r="K34" s="18" t="str">
        <f t="shared" si="2"/>
        <v/>
      </c>
      <c r="L34" s="22" t="str">
        <f t="shared" si="3"/>
        <v/>
      </c>
      <c r="M34" s="17" t="str">
        <f t="shared" si="4"/>
        <v/>
      </c>
      <c r="N34" s="14" t="str">
        <f t="shared" si="5"/>
        <v/>
      </c>
      <c r="O34" s="15"/>
      <c r="P34" s="2"/>
      <c r="Q34" s="11" t="str">
        <f t="shared" si="8"/>
        <v/>
      </c>
      <c r="R34" s="11" t="str">
        <f t="shared" si="6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9"/>
        <v/>
      </c>
      <c r="E35" s="18" t="str">
        <f t="shared" si="0"/>
        <v/>
      </c>
      <c r="F35" s="19"/>
      <c r="G35" s="20" t="str">
        <f t="shared" si="7"/>
        <v/>
      </c>
      <c r="H35" s="21"/>
      <c r="I35" s="19"/>
      <c r="J35" s="20" t="str">
        <f t="shared" si="1"/>
        <v/>
      </c>
      <c r="K35" s="18" t="str">
        <f t="shared" si="2"/>
        <v/>
      </c>
      <c r="L35" s="22" t="str">
        <f t="shared" si="3"/>
        <v/>
      </c>
      <c r="M35" s="17" t="str">
        <f t="shared" si="4"/>
        <v/>
      </c>
      <c r="N35" s="14" t="str">
        <f t="shared" si="5"/>
        <v/>
      </c>
      <c r="O35" s="15"/>
      <c r="P35" s="2"/>
      <c r="Q35" s="11" t="str">
        <f t="shared" si="8"/>
        <v/>
      </c>
      <c r="R35" s="11" t="str">
        <f t="shared" si="6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9"/>
        <v/>
      </c>
      <c r="E36" s="18" t="str">
        <f t="shared" si="0"/>
        <v/>
      </c>
      <c r="F36" s="19"/>
      <c r="G36" s="20" t="str">
        <f t="shared" si="7"/>
        <v/>
      </c>
      <c r="H36" s="21"/>
      <c r="I36" s="19"/>
      <c r="J36" s="20" t="str">
        <f t="shared" si="1"/>
        <v/>
      </c>
      <c r="K36" s="18" t="str">
        <f t="shared" si="2"/>
        <v/>
      </c>
      <c r="L36" s="22" t="str">
        <f t="shared" si="3"/>
        <v/>
      </c>
      <c r="M36" s="17" t="str">
        <f t="shared" si="4"/>
        <v/>
      </c>
      <c r="N36" s="14" t="str">
        <f t="shared" si="5"/>
        <v/>
      </c>
      <c r="O36" s="15"/>
      <c r="P36" s="2"/>
      <c r="Q36" s="11" t="str">
        <f t="shared" si="8"/>
        <v/>
      </c>
      <c r="R36" s="11" t="str">
        <f t="shared" si="6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9"/>
        <v/>
      </c>
      <c r="E37" s="18" t="str">
        <f t="shared" si="0"/>
        <v/>
      </c>
      <c r="F37" s="19"/>
      <c r="G37" s="20" t="str">
        <f t="shared" si="7"/>
        <v/>
      </c>
      <c r="H37" s="21"/>
      <c r="I37" s="19"/>
      <c r="J37" s="20" t="str">
        <f t="shared" si="1"/>
        <v/>
      </c>
      <c r="K37" s="18" t="str">
        <f t="shared" si="2"/>
        <v/>
      </c>
      <c r="L37" s="22" t="str">
        <f t="shared" si="3"/>
        <v/>
      </c>
      <c r="M37" s="17" t="str">
        <f t="shared" si="4"/>
        <v/>
      </c>
      <c r="N37" s="14" t="str">
        <f t="shared" si="5"/>
        <v/>
      </c>
      <c r="O37" s="15"/>
      <c r="P37" s="2"/>
      <c r="Q37" s="11" t="str">
        <f t="shared" si="8"/>
        <v/>
      </c>
      <c r="R37" s="11" t="str">
        <f t="shared" si="6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9"/>
        <v/>
      </c>
      <c r="E38" s="18" t="str">
        <f t="shared" si="0"/>
        <v/>
      </c>
      <c r="F38" s="19"/>
      <c r="G38" s="20" t="str">
        <f t="shared" si="7"/>
        <v/>
      </c>
      <c r="H38" s="21"/>
      <c r="I38" s="19"/>
      <c r="J38" s="20" t="str">
        <f t="shared" si="1"/>
        <v/>
      </c>
      <c r="K38" s="18" t="str">
        <f t="shared" si="2"/>
        <v/>
      </c>
      <c r="L38" s="22" t="str">
        <f t="shared" si="3"/>
        <v/>
      </c>
      <c r="M38" s="17" t="str">
        <f t="shared" si="4"/>
        <v/>
      </c>
      <c r="N38" s="14" t="str">
        <f t="shared" si="5"/>
        <v/>
      </c>
      <c r="O38" s="15"/>
      <c r="P38" s="2"/>
      <c r="Q38" s="11" t="str">
        <f t="shared" si="8"/>
        <v/>
      </c>
      <c r="R38" s="11" t="str">
        <f t="shared" si="6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9"/>
        <v/>
      </c>
      <c r="E39" s="18" t="str">
        <f t="shared" si="0"/>
        <v/>
      </c>
      <c r="F39" s="19"/>
      <c r="G39" s="20" t="str">
        <f t="shared" si="7"/>
        <v/>
      </c>
      <c r="H39" s="21"/>
      <c r="I39" s="19"/>
      <c r="J39" s="20" t="str">
        <f t="shared" si="1"/>
        <v/>
      </c>
      <c r="K39" s="18" t="str">
        <f t="shared" si="2"/>
        <v/>
      </c>
      <c r="L39" s="22" t="str">
        <f t="shared" si="3"/>
        <v/>
      </c>
      <c r="M39" s="17" t="str">
        <f t="shared" si="4"/>
        <v/>
      </c>
      <c r="N39" s="14" t="str">
        <f t="shared" si="5"/>
        <v/>
      </c>
      <c r="O39" s="15"/>
      <c r="P39" s="2"/>
      <c r="Q39" s="11" t="str">
        <f t="shared" si="8"/>
        <v/>
      </c>
      <c r="R39" s="11" t="str">
        <f t="shared" si="6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9"/>
        <v/>
      </c>
      <c r="E40" s="18" t="str">
        <f t="shared" si="0"/>
        <v/>
      </c>
      <c r="F40" s="19"/>
      <c r="G40" s="20" t="str">
        <f t="shared" si="7"/>
        <v/>
      </c>
      <c r="H40" s="21"/>
      <c r="I40" s="19"/>
      <c r="J40" s="20" t="str">
        <f t="shared" si="1"/>
        <v/>
      </c>
      <c r="K40" s="18" t="str">
        <f t="shared" si="2"/>
        <v/>
      </c>
      <c r="L40" s="22" t="str">
        <f t="shared" si="3"/>
        <v/>
      </c>
      <c r="M40" s="17" t="str">
        <f t="shared" si="4"/>
        <v/>
      </c>
      <c r="N40" s="14" t="str">
        <f t="shared" si="5"/>
        <v/>
      </c>
      <c r="O40" s="15"/>
      <c r="P40" s="2"/>
      <c r="Q40" s="11" t="str">
        <f t="shared" si="8"/>
        <v/>
      </c>
      <c r="R40" s="11" t="str">
        <f t="shared" si="6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9"/>
        <v/>
      </c>
      <c r="E41" s="18" t="str">
        <f t="shared" si="0"/>
        <v/>
      </c>
      <c r="F41" s="19"/>
      <c r="G41" s="20" t="str">
        <f t="shared" si="7"/>
        <v/>
      </c>
      <c r="H41" s="21"/>
      <c r="I41" s="19"/>
      <c r="J41" s="20" t="str">
        <f t="shared" si="1"/>
        <v/>
      </c>
      <c r="K41" s="18" t="str">
        <f t="shared" si="2"/>
        <v/>
      </c>
      <c r="L41" s="22" t="str">
        <f t="shared" si="3"/>
        <v/>
      </c>
      <c r="M41" s="17" t="str">
        <f t="shared" si="4"/>
        <v/>
      </c>
      <c r="N41" s="14" t="str">
        <f t="shared" si="5"/>
        <v/>
      </c>
      <c r="O41" s="15"/>
      <c r="P41" s="2"/>
      <c r="Q41" s="11" t="str">
        <f t="shared" si="8"/>
        <v/>
      </c>
      <c r="R41" s="11" t="str">
        <f t="shared" si="6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9"/>
        <v/>
      </c>
      <c r="E42" s="18" t="str">
        <f t="shared" si="0"/>
        <v/>
      </c>
      <c r="F42" s="19"/>
      <c r="G42" s="20" t="str">
        <f t="shared" si="7"/>
        <v/>
      </c>
      <c r="H42" s="21"/>
      <c r="I42" s="19"/>
      <c r="J42" s="20" t="str">
        <f t="shared" si="1"/>
        <v/>
      </c>
      <c r="K42" s="18" t="str">
        <f t="shared" si="2"/>
        <v/>
      </c>
      <c r="L42" s="22" t="str">
        <f t="shared" si="3"/>
        <v/>
      </c>
      <c r="M42" s="17" t="str">
        <f t="shared" si="4"/>
        <v/>
      </c>
      <c r="N42" s="14" t="str">
        <f t="shared" si="5"/>
        <v/>
      </c>
      <c r="O42" s="15"/>
      <c r="P42" s="2"/>
      <c r="Q42" s="11" t="str">
        <f t="shared" si="8"/>
        <v/>
      </c>
      <c r="R42" s="11" t="str">
        <f t="shared" si="6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9"/>
        <v/>
      </c>
      <c r="E43" s="18" t="str">
        <f t="shared" si="0"/>
        <v/>
      </c>
      <c r="F43" s="19"/>
      <c r="G43" s="20" t="str">
        <f t="shared" si="7"/>
        <v/>
      </c>
      <c r="H43" s="21"/>
      <c r="I43" s="19"/>
      <c r="J43" s="20" t="str">
        <f t="shared" si="1"/>
        <v/>
      </c>
      <c r="K43" s="18" t="str">
        <f t="shared" si="2"/>
        <v/>
      </c>
      <c r="L43" s="22" t="str">
        <f t="shared" si="3"/>
        <v/>
      </c>
      <c r="M43" s="17" t="str">
        <f t="shared" si="4"/>
        <v/>
      </c>
      <c r="N43" s="14" t="str">
        <f t="shared" si="5"/>
        <v/>
      </c>
      <c r="O43" s="15"/>
      <c r="P43" s="2"/>
      <c r="Q43" s="11" t="str">
        <f t="shared" si="8"/>
        <v/>
      </c>
      <c r="R43" s="11" t="str">
        <f t="shared" si="6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9"/>
        <v/>
      </c>
      <c r="E44" s="18" t="str">
        <f t="shared" si="0"/>
        <v/>
      </c>
      <c r="F44" s="19"/>
      <c r="G44" s="20" t="str">
        <f t="shared" si="7"/>
        <v/>
      </c>
      <c r="H44" s="21"/>
      <c r="I44" s="19"/>
      <c r="J44" s="20" t="str">
        <f t="shared" si="1"/>
        <v/>
      </c>
      <c r="K44" s="18" t="str">
        <f t="shared" si="2"/>
        <v/>
      </c>
      <c r="L44" s="22" t="str">
        <f t="shared" si="3"/>
        <v/>
      </c>
      <c r="M44" s="17" t="str">
        <f t="shared" si="4"/>
        <v/>
      </c>
      <c r="N44" s="14" t="str">
        <f t="shared" si="5"/>
        <v/>
      </c>
      <c r="O44" s="15"/>
      <c r="P44" s="2"/>
      <c r="Q44" s="11" t="str">
        <f t="shared" si="8"/>
        <v/>
      </c>
      <c r="R44" s="11" t="str">
        <f t="shared" si="6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9"/>
        <v/>
      </c>
      <c r="E45" s="18" t="str">
        <f t="shared" si="0"/>
        <v/>
      </c>
      <c r="F45" s="19"/>
      <c r="G45" s="20" t="str">
        <f t="shared" si="7"/>
        <v/>
      </c>
      <c r="H45" s="21"/>
      <c r="I45" s="19"/>
      <c r="J45" s="20" t="str">
        <f t="shared" si="1"/>
        <v/>
      </c>
      <c r="K45" s="18" t="str">
        <f t="shared" si="2"/>
        <v/>
      </c>
      <c r="L45" s="22" t="str">
        <f t="shared" si="3"/>
        <v/>
      </c>
      <c r="M45" s="17" t="str">
        <f t="shared" si="4"/>
        <v/>
      </c>
      <c r="N45" s="14" t="str">
        <f t="shared" si="5"/>
        <v/>
      </c>
      <c r="O45" s="15"/>
      <c r="P45" s="2"/>
      <c r="Q45" s="11" t="str">
        <f t="shared" si="8"/>
        <v/>
      </c>
      <c r="R45" s="11" t="str">
        <f t="shared" si="6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9"/>
        <v/>
      </c>
      <c r="E46" s="18" t="str">
        <f t="shared" si="0"/>
        <v/>
      </c>
      <c r="F46" s="19"/>
      <c r="G46" s="20" t="str">
        <f t="shared" si="7"/>
        <v/>
      </c>
      <c r="H46" s="21"/>
      <c r="I46" s="19"/>
      <c r="J46" s="20" t="str">
        <f t="shared" si="1"/>
        <v/>
      </c>
      <c r="K46" s="18" t="str">
        <f t="shared" si="2"/>
        <v/>
      </c>
      <c r="L46" s="22" t="str">
        <f t="shared" si="3"/>
        <v/>
      </c>
      <c r="M46" s="17" t="str">
        <f t="shared" si="4"/>
        <v/>
      </c>
      <c r="N46" s="14" t="str">
        <f t="shared" si="5"/>
        <v/>
      </c>
      <c r="O46" s="15"/>
      <c r="P46" s="2"/>
      <c r="Q46" s="11" t="str">
        <f t="shared" si="8"/>
        <v/>
      </c>
      <c r="R46" s="11" t="str">
        <f t="shared" si="6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9"/>
        <v/>
      </c>
      <c r="E47" s="18" t="str">
        <f t="shared" si="0"/>
        <v/>
      </c>
      <c r="F47" s="19"/>
      <c r="G47" s="20" t="str">
        <f t="shared" si="7"/>
        <v/>
      </c>
      <c r="H47" s="21"/>
      <c r="I47" s="19"/>
      <c r="J47" s="20" t="str">
        <f t="shared" si="1"/>
        <v/>
      </c>
      <c r="K47" s="18" t="str">
        <f t="shared" si="2"/>
        <v/>
      </c>
      <c r="L47" s="22" t="str">
        <f t="shared" si="3"/>
        <v/>
      </c>
      <c r="M47" s="17" t="str">
        <f t="shared" si="4"/>
        <v/>
      </c>
      <c r="N47" s="14" t="str">
        <f t="shared" si="5"/>
        <v/>
      </c>
      <c r="O47" s="15"/>
      <c r="P47" s="2"/>
      <c r="Q47" s="11" t="str">
        <f t="shared" si="8"/>
        <v/>
      </c>
      <c r="R47" s="11" t="str">
        <f t="shared" si="6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9"/>
        <v/>
      </c>
      <c r="E48" s="18" t="str">
        <f t="shared" si="0"/>
        <v/>
      </c>
      <c r="F48" s="19"/>
      <c r="G48" s="20" t="str">
        <f t="shared" si="7"/>
        <v/>
      </c>
      <c r="H48" s="21"/>
      <c r="I48" s="19"/>
      <c r="J48" s="20" t="str">
        <f t="shared" si="1"/>
        <v/>
      </c>
      <c r="K48" s="18" t="str">
        <f t="shared" si="2"/>
        <v/>
      </c>
      <c r="L48" s="22" t="str">
        <f t="shared" si="3"/>
        <v/>
      </c>
      <c r="M48" s="17" t="str">
        <f t="shared" si="4"/>
        <v/>
      </c>
      <c r="N48" s="14" t="str">
        <f t="shared" si="5"/>
        <v/>
      </c>
      <c r="O48" s="15"/>
      <c r="P48" s="2"/>
      <c r="Q48" s="11" t="str">
        <f t="shared" si="8"/>
        <v/>
      </c>
      <c r="R48" s="11" t="str">
        <f t="shared" si="6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9"/>
        <v/>
      </c>
      <c r="E49" s="18" t="str">
        <f t="shared" si="0"/>
        <v/>
      </c>
      <c r="F49" s="19"/>
      <c r="G49" s="20" t="str">
        <f t="shared" si="7"/>
        <v/>
      </c>
      <c r="H49" s="21"/>
      <c r="I49" s="19"/>
      <c r="J49" s="20" t="str">
        <f t="shared" si="1"/>
        <v/>
      </c>
      <c r="K49" s="18" t="str">
        <f t="shared" si="2"/>
        <v/>
      </c>
      <c r="L49" s="22" t="str">
        <f t="shared" si="3"/>
        <v/>
      </c>
      <c r="M49" s="17" t="str">
        <f t="shared" si="4"/>
        <v/>
      </c>
      <c r="N49" s="14" t="str">
        <f t="shared" si="5"/>
        <v/>
      </c>
      <c r="O49" s="15"/>
      <c r="P49" s="2"/>
      <c r="Q49" s="11" t="str">
        <f t="shared" si="8"/>
        <v/>
      </c>
      <c r="R49" s="11" t="str">
        <f t="shared" si="6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9"/>
        <v/>
      </c>
      <c r="E50" s="18" t="str">
        <f t="shared" si="0"/>
        <v/>
      </c>
      <c r="F50" s="19"/>
      <c r="G50" s="20" t="str">
        <f t="shared" si="7"/>
        <v/>
      </c>
      <c r="H50" s="21"/>
      <c r="I50" s="19"/>
      <c r="J50" s="20" t="str">
        <f t="shared" si="1"/>
        <v/>
      </c>
      <c r="K50" s="18" t="str">
        <f t="shared" si="2"/>
        <v/>
      </c>
      <c r="L50" s="22" t="str">
        <f t="shared" si="3"/>
        <v/>
      </c>
      <c r="M50" s="17" t="str">
        <f t="shared" si="4"/>
        <v/>
      </c>
      <c r="N50" s="14" t="str">
        <f t="shared" si="5"/>
        <v/>
      </c>
      <c r="O50" s="15"/>
      <c r="P50" s="2"/>
      <c r="Q50" s="11" t="str">
        <f t="shared" si="8"/>
        <v/>
      </c>
      <c r="R50" s="11" t="str">
        <f t="shared" si="6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9"/>
        <v/>
      </c>
      <c r="E51" s="18" t="str">
        <f t="shared" si="0"/>
        <v/>
      </c>
      <c r="F51" s="19"/>
      <c r="G51" s="20" t="str">
        <f t="shared" si="7"/>
        <v/>
      </c>
      <c r="H51" s="21"/>
      <c r="I51" s="19"/>
      <c r="J51" s="20" t="str">
        <f t="shared" si="1"/>
        <v/>
      </c>
      <c r="K51" s="18" t="str">
        <f t="shared" si="2"/>
        <v/>
      </c>
      <c r="L51" s="22" t="str">
        <f t="shared" si="3"/>
        <v/>
      </c>
      <c r="M51" s="17" t="str">
        <f t="shared" si="4"/>
        <v/>
      </c>
      <c r="N51" s="14" t="str">
        <f t="shared" si="5"/>
        <v/>
      </c>
      <c r="O51" s="15"/>
      <c r="P51" s="2"/>
      <c r="Q51" s="11" t="str">
        <f t="shared" si="8"/>
        <v/>
      </c>
      <c r="R51" s="11" t="str">
        <f t="shared" si="6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9"/>
        <v/>
      </c>
      <c r="E52" s="18" t="str">
        <f t="shared" si="0"/>
        <v/>
      </c>
      <c r="F52" s="19"/>
      <c r="G52" s="20" t="str">
        <f t="shared" si="7"/>
        <v/>
      </c>
      <c r="H52" s="21"/>
      <c r="I52" s="19"/>
      <c r="J52" s="20" t="str">
        <f t="shared" si="1"/>
        <v/>
      </c>
      <c r="K52" s="18" t="str">
        <f t="shared" si="2"/>
        <v/>
      </c>
      <c r="L52" s="22" t="str">
        <f t="shared" si="3"/>
        <v/>
      </c>
      <c r="M52" s="17" t="str">
        <f t="shared" si="4"/>
        <v/>
      </c>
      <c r="N52" s="14" t="str">
        <f t="shared" si="5"/>
        <v/>
      </c>
      <c r="O52" s="15"/>
      <c r="P52" s="2"/>
      <c r="Q52" s="11" t="str">
        <f t="shared" si="8"/>
        <v/>
      </c>
      <c r="R52" s="11" t="str">
        <f t="shared" si="6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9"/>
        <v/>
      </c>
      <c r="E53" s="18" t="str">
        <f t="shared" si="0"/>
        <v/>
      </c>
      <c r="F53" s="19"/>
      <c r="G53" s="20" t="str">
        <f t="shared" si="7"/>
        <v/>
      </c>
      <c r="H53" s="21"/>
      <c r="I53" s="19"/>
      <c r="J53" s="20" t="str">
        <f t="shared" si="1"/>
        <v/>
      </c>
      <c r="K53" s="18" t="str">
        <f t="shared" si="2"/>
        <v/>
      </c>
      <c r="L53" s="22" t="str">
        <f t="shared" si="3"/>
        <v/>
      </c>
      <c r="M53" s="17" t="str">
        <f t="shared" si="4"/>
        <v/>
      </c>
      <c r="N53" s="14" t="str">
        <f t="shared" si="5"/>
        <v/>
      </c>
      <c r="O53" s="15"/>
      <c r="P53" s="2"/>
      <c r="Q53" s="11" t="str">
        <f t="shared" si="8"/>
        <v/>
      </c>
      <c r="R53" s="11" t="str">
        <f t="shared" si="6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9"/>
        <v/>
      </c>
      <c r="E54" s="18" t="str">
        <f t="shared" si="0"/>
        <v/>
      </c>
      <c r="F54" s="19"/>
      <c r="G54" s="20" t="str">
        <f t="shared" si="7"/>
        <v/>
      </c>
      <c r="H54" s="21"/>
      <c r="I54" s="19"/>
      <c r="J54" s="20" t="str">
        <f t="shared" si="1"/>
        <v/>
      </c>
      <c r="K54" s="18" t="str">
        <f t="shared" si="2"/>
        <v/>
      </c>
      <c r="L54" s="22" t="str">
        <f t="shared" si="3"/>
        <v/>
      </c>
      <c r="M54" s="17" t="str">
        <f t="shared" si="4"/>
        <v/>
      </c>
      <c r="N54" s="14" t="str">
        <f t="shared" si="5"/>
        <v/>
      </c>
      <c r="O54" s="15"/>
      <c r="P54" s="2"/>
      <c r="Q54" s="11" t="str">
        <f t="shared" si="8"/>
        <v/>
      </c>
      <c r="R54" s="11" t="str">
        <f t="shared" si="6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9"/>
        <v/>
      </c>
      <c r="E55" s="18" t="str">
        <f t="shared" si="0"/>
        <v/>
      </c>
      <c r="F55" s="19"/>
      <c r="G55" s="20" t="str">
        <f t="shared" si="7"/>
        <v/>
      </c>
      <c r="H55" s="21"/>
      <c r="I55" s="19"/>
      <c r="J55" s="20" t="str">
        <f t="shared" si="1"/>
        <v/>
      </c>
      <c r="K55" s="18" t="str">
        <f t="shared" si="2"/>
        <v/>
      </c>
      <c r="L55" s="22" t="str">
        <f t="shared" si="3"/>
        <v/>
      </c>
      <c r="M55" s="17" t="str">
        <f t="shared" si="4"/>
        <v/>
      </c>
      <c r="N55" s="14" t="str">
        <f t="shared" si="5"/>
        <v/>
      </c>
      <c r="O55" s="15"/>
      <c r="P55" s="2"/>
      <c r="Q55" s="11" t="str">
        <f t="shared" si="8"/>
        <v/>
      </c>
      <c r="R55" s="11" t="str">
        <f t="shared" si="6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9"/>
        <v/>
      </c>
      <c r="E56" s="18" t="str">
        <f t="shared" si="0"/>
        <v/>
      </c>
      <c r="F56" s="19"/>
      <c r="G56" s="20" t="str">
        <f t="shared" si="7"/>
        <v/>
      </c>
      <c r="H56" s="21"/>
      <c r="I56" s="19"/>
      <c r="J56" s="20" t="str">
        <f t="shared" si="1"/>
        <v/>
      </c>
      <c r="K56" s="18" t="str">
        <f t="shared" si="2"/>
        <v/>
      </c>
      <c r="L56" s="22" t="str">
        <f t="shared" si="3"/>
        <v/>
      </c>
      <c r="M56" s="17" t="str">
        <f t="shared" si="4"/>
        <v/>
      </c>
      <c r="N56" s="14" t="str">
        <f t="shared" si="5"/>
        <v/>
      </c>
      <c r="O56" s="15"/>
      <c r="P56" s="2"/>
      <c r="Q56" s="11" t="str">
        <f t="shared" si="8"/>
        <v/>
      </c>
      <c r="R56" s="11" t="str">
        <f t="shared" si="6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9"/>
        <v/>
      </c>
      <c r="E57" s="18" t="str">
        <f t="shared" si="0"/>
        <v/>
      </c>
      <c r="F57" s="19"/>
      <c r="G57" s="20" t="str">
        <f t="shared" si="7"/>
        <v/>
      </c>
      <c r="H57" s="21"/>
      <c r="I57" s="19"/>
      <c r="J57" s="20" t="str">
        <f t="shared" si="1"/>
        <v/>
      </c>
      <c r="K57" s="18" t="str">
        <f t="shared" si="2"/>
        <v/>
      </c>
      <c r="L57" s="22" t="str">
        <f t="shared" si="3"/>
        <v/>
      </c>
      <c r="M57" s="17" t="str">
        <f t="shared" si="4"/>
        <v/>
      </c>
      <c r="N57" s="14" t="str">
        <f t="shared" si="5"/>
        <v/>
      </c>
      <c r="O57" s="15"/>
      <c r="P57" s="2"/>
      <c r="Q57" s="11" t="str">
        <f t="shared" si="8"/>
        <v/>
      </c>
      <c r="R57" s="11" t="str">
        <f t="shared" si="6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9"/>
        <v/>
      </c>
      <c r="E58" s="18" t="str">
        <f t="shared" si="0"/>
        <v/>
      </c>
      <c r="F58" s="19"/>
      <c r="G58" s="20" t="str">
        <f t="shared" si="7"/>
        <v/>
      </c>
      <c r="H58" s="21"/>
      <c r="I58" s="19"/>
      <c r="J58" s="20" t="str">
        <f t="shared" si="1"/>
        <v/>
      </c>
      <c r="K58" s="18" t="str">
        <f t="shared" si="2"/>
        <v/>
      </c>
      <c r="L58" s="22" t="str">
        <f t="shared" si="3"/>
        <v/>
      </c>
      <c r="M58" s="17" t="str">
        <f t="shared" si="4"/>
        <v/>
      </c>
      <c r="N58" s="14" t="str">
        <f t="shared" si="5"/>
        <v/>
      </c>
      <c r="O58" s="15"/>
      <c r="P58" s="2"/>
      <c r="Q58" s="11" t="str">
        <f t="shared" si="8"/>
        <v/>
      </c>
      <c r="R58" s="11" t="str">
        <f t="shared" si="6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9"/>
        <v/>
      </c>
      <c r="E59" s="18" t="str">
        <f t="shared" si="0"/>
        <v/>
      </c>
      <c r="F59" s="19"/>
      <c r="G59" s="20" t="str">
        <f t="shared" si="7"/>
        <v/>
      </c>
      <c r="H59" s="21"/>
      <c r="I59" s="19"/>
      <c r="J59" s="20" t="str">
        <f t="shared" si="1"/>
        <v/>
      </c>
      <c r="K59" s="18" t="str">
        <f t="shared" si="2"/>
        <v/>
      </c>
      <c r="L59" s="22" t="str">
        <f t="shared" si="3"/>
        <v/>
      </c>
      <c r="M59" s="17" t="str">
        <f t="shared" si="4"/>
        <v/>
      </c>
      <c r="N59" s="14" t="str">
        <f t="shared" si="5"/>
        <v/>
      </c>
      <c r="O59" s="15"/>
      <c r="P59" s="2"/>
      <c r="Q59" s="11" t="str">
        <f t="shared" si="8"/>
        <v/>
      </c>
      <c r="R59" s="11" t="str">
        <f t="shared" si="6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9"/>
        <v/>
      </c>
      <c r="E60" s="18" t="str">
        <f t="shared" si="0"/>
        <v/>
      </c>
      <c r="F60" s="19"/>
      <c r="G60" s="20" t="str">
        <f t="shared" si="7"/>
        <v/>
      </c>
      <c r="H60" s="21"/>
      <c r="I60" s="19"/>
      <c r="J60" s="20" t="str">
        <f t="shared" si="1"/>
        <v/>
      </c>
      <c r="K60" s="18" t="str">
        <f t="shared" si="2"/>
        <v/>
      </c>
      <c r="L60" s="22" t="str">
        <f t="shared" si="3"/>
        <v/>
      </c>
      <c r="M60" s="17" t="str">
        <f t="shared" si="4"/>
        <v/>
      </c>
      <c r="N60" s="14" t="str">
        <f t="shared" si="5"/>
        <v/>
      </c>
      <c r="O60" s="15"/>
      <c r="P60" s="2"/>
      <c r="Q60" s="11" t="str">
        <f t="shared" si="8"/>
        <v/>
      </c>
      <c r="R60" s="11" t="str">
        <f t="shared" si="6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9"/>
        <v/>
      </c>
      <c r="E61" s="18" t="str">
        <f t="shared" si="0"/>
        <v/>
      </c>
      <c r="F61" s="19"/>
      <c r="G61" s="20" t="str">
        <f t="shared" si="7"/>
        <v/>
      </c>
      <c r="H61" s="21"/>
      <c r="I61" s="19"/>
      <c r="J61" s="20" t="str">
        <f t="shared" si="1"/>
        <v/>
      </c>
      <c r="K61" s="18" t="str">
        <f t="shared" si="2"/>
        <v/>
      </c>
      <c r="L61" s="22" t="str">
        <f t="shared" si="3"/>
        <v/>
      </c>
      <c r="M61" s="17" t="str">
        <f t="shared" si="4"/>
        <v/>
      </c>
      <c r="N61" s="14" t="str">
        <f t="shared" si="5"/>
        <v/>
      </c>
      <c r="O61" s="15"/>
      <c r="P61" s="2"/>
      <c r="Q61" s="11" t="str">
        <f t="shared" si="8"/>
        <v/>
      </c>
      <c r="R61" s="11" t="str">
        <f t="shared" si="6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9"/>
        <v/>
      </c>
      <c r="E62" s="18" t="str">
        <f t="shared" si="0"/>
        <v/>
      </c>
      <c r="F62" s="19"/>
      <c r="G62" s="20" t="str">
        <f t="shared" si="7"/>
        <v/>
      </c>
      <c r="H62" s="21"/>
      <c r="I62" s="19"/>
      <c r="J62" s="20" t="str">
        <f t="shared" si="1"/>
        <v/>
      </c>
      <c r="K62" s="18" t="str">
        <f t="shared" si="2"/>
        <v/>
      </c>
      <c r="L62" s="22" t="str">
        <f t="shared" si="3"/>
        <v/>
      </c>
      <c r="M62" s="17" t="str">
        <f t="shared" si="4"/>
        <v/>
      </c>
      <c r="N62" s="14" t="str">
        <f t="shared" si="5"/>
        <v/>
      </c>
      <c r="O62" s="15"/>
      <c r="P62" s="2"/>
      <c r="Q62" s="11" t="str">
        <f t="shared" si="8"/>
        <v/>
      </c>
      <c r="R62" s="11" t="str">
        <f t="shared" si="6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9"/>
        <v/>
      </c>
      <c r="E63" s="18" t="str">
        <f t="shared" si="0"/>
        <v/>
      </c>
      <c r="F63" s="19"/>
      <c r="G63" s="20" t="str">
        <f t="shared" si="7"/>
        <v/>
      </c>
      <c r="H63" s="21"/>
      <c r="I63" s="19"/>
      <c r="J63" s="20" t="str">
        <f t="shared" si="1"/>
        <v/>
      </c>
      <c r="K63" s="18" t="str">
        <f t="shared" si="2"/>
        <v/>
      </c>
      <c r="L63" s="22" t="str">
        <f t="shared" si="3"/>
        <v/>
      </c>
      <c r="M63" s="17" t="str">
        <f t="shared" si="4"/>
        <v/>
      </c>
      <c r="N63" s="14" t="str">
        <f t="shared" si="5"/>
        <v/>
      </c>
      <c r="O63" s="15"/>
      <c r="P63" s="2"/>
      <c r="Q63" s="11" t="str">
        <f t="shared" si="8"/>
        <v/>
      </c>
      <c r="R63" s="11" t="str">
        <f t="shared" si="6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9"/>
        <v/>
      </c>
      <c r="E64" s="18" t="str">
        <f t="shared" si="0"/>
        <v/>
      </c>
      <c r="F64" s="19"/>
      <c r="G64" s="20" t="str">
        <f t="shared" si="7"/>
        <v/>
      </c>
      <c r="H64" s="21"/>
      <c r="I64" s="19"/>
      <c r="J64" s="20" t="str">
        <f t="shared" si="1"/>
        <v/>
      </c>
      <c r="K64" s="18" t="str">
        <f t="shared" si="2"/>
        <v/>
      </c>
      <c r="L64" s="22" t="str">
        <f t="shared" si="3"/>
        <v/>
      </c>
      <c r="M64" s="17" t="str">
        <f t="shared" si="4"/>
        <v/>
      </c>
      <c r="N64" s="14" t="str">
        <f t="shared" si="5"/>
        <v/>
      </c>
      <c r="O64" s="15"/>
      <c r="P64" s="2"/>
      <c r="Q64" s="11" t="str">
        <f t="shared" si="8"/>
        <v/>
      </c>
      <c r="R64" s="11" t="str">
        <f t="shared" si="6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35" priority="1">
      <formula>N15="ACCEPT"</formula>
    </cfRule>
    <cfRule type="expression" dxfId="34" priority="2">
      <formula>N15="UNDER"</formula>
    </cfRule>
    <cfRule type="expression" dxfId="33" priority="3">
      <formula>N15="OVER"</formula>
    </cfRule>
    <cfRule type="expression" dxfId="32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077A-A145-4E40-BEE6-D143A2B51064}">
  <dimension ref="A1:X64"/>
  <sheetViews>
    <sheetView topLeftCell="A4" zoomScale="75" workbookViewId="0">
      <selection activeCell="E20" sqref="E20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500</v>
      </c>
      <c r="C5" s="2"/>
      <c r="D5" s="2" t="s">
        <v>8</v>
      </c>
      <c r="E5" s="8">
        <v>3</v>
      </c>
      <c r="F5" s="2"/>
      <c r="G5" s="2" t="s">
        <v>9</v>
      </c>
      <c r="H5" s="9">
        <f>IF(OR(E7="",E8="",E9="",E10="",E10=E8),"",E7+($B$8-E8)/(E10-E8)*(E9-E7))</f>
        <v>84.233467282099014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4</v>
      </c>
      <c r="F6" s="2"/>
      <c r="G6" s="2" t="s">
        <v>12</v>
      </c>
      <c r="H6" s="9">
        <f>IF(H5="","",ROUND(H5,1))</f>
        <v>84.2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-300</v>
      </c>
      <c r="C7" s="2"/>
      <c r="D7" s="2" t="s">
        <v>14</v>
      </c>
      <c r="E7" s="2">
        <f>IF(E5="","",IFERROR(INDEX($F$15:$F$64,MATCH(E5,$A$15:$A$64,0)),""))</f>
        <v>80</v>
      </c>
      <c r="F7" s="2"/>
      <c r="G7" s="2" t="s">
        <v>15</v>
      </c>
      <c r="H7" s="10">
        <f>$B$8</f>
        <v>-3.3333333333333335E-3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-3.3333333333333335E-3</v>
      </c>
      <c r="C8" s="2"/>
      <c r="D8" s="2" t="s">
        <v>17</v>
      </c>
      <c r="E8" s="2">
        <f>IF(E5="","",IFERROR(INDEX($K$15:$K$64,MATCH(E5,$A$15:$A$64,0)),""))</f>
        <v>-3.2306564458531306E-3</v>
      </c>
      <c r="F8" s="2"/>
      <c r="G8" s="2" t="s">
        <v>18</v>
      </c>
      <c r="H8" s="11">
        <f>DEGREES($B$8*$B$5)</f>
        <v>-95.492965855137214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-3.3519245231031503E-3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-300</v>
      </c>
      <c r="E15" s="18">
        <f t="shared" ref="E15:E64" si="1">IF(D15="","",1/D15)</f>
        <v>-3.3333333333333335E-3</v>
      </c>
      <c r="F15" s="19">
        <v>67.5</v>
      </c>
      <c r="G15" s="20">
        <f t="shared" ref="G15:G64" si="2">IF(F15="","",F15-$B$4)</f>
        <v>77.025022509999999</v>
      </c>
      <c r="H15" s="21">
        <v>500.9</v>
      </c>
      <c r="I15" s="19">
        <v>-82.27</v>
      </c>
      <c r="J15" s="20">
        <f t="shared" ref="J15:J64" si="3">IF(OR(E15="",H15=""),"",DEGREES(E15*H15))</f>
        <v>-95.66485319367645</v>
      </c>
      <c r="K15" s="18">
        <f t="shared" ref="K15:K64" si="4">IF(OR(H15="",I15="",H15=0),"",RADIANS(I15)/H15)</f>
        <v>-2.8666048624790075E-3</v>
      </c>
      <c r="L15" s="22">
        <f t="shared" ref="L15:L64" si="5">IF(OR(K15="",E15="",E15=0),"",(ABS(K15)-ABS(E15))/ABS(E15))</f>
        <v>-0.14001854125629781</v>
      </c>
      <c r="M15" s="17">
        <f t="shared" ref="M15:M64" si="6">IF(OR(K15="",K15=0),"",1/K15)</f>
        <v>-348.84473025529275</v>
      </c>
      <c r="N15" s="14" t="str">
        <f t="shared" ref="N15:N64" si="7">IF(OR(K15="",E15=""),"",IF(SIGN(K15)&lt;&gt;SIGN(E15),"WRONG SIGN",IF(ABS(L15)&lt;=$B$9,"ACCEPT",IF(ABS(K15)&lt;ABS(E15),"UNDER","OVER"))))</f>
        <v>UNDER</v>
      </c>
      <c r="O15" s="15"/>
      <c r="P15" s="2"/>
      <c r="Q15" s="11">
        <f t="shared" ref="Q15:Q64" si="8">IF(F15="","",F15)</f>
        <v>67.5</v>
      </c>
      <c r="R15" s="11">
        <f t="shared" ref="R15:R64" si="9">IF(K15="","",ABS(K15)*1000)</f>
        <v>2.8666048624790075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>IF(OR(B16&lt;&gt;"",C16&lt;&gt;"",F16&lt;&gt;"",H16&lt;&gt;"",I16&lt;&gt;""),$B$7,"")</f>
        <v>-300</v>
      </c>
      <c r="E16" s="18">
        <f t="shared" si="1"/>
        <v>-3.3333333333333335E-3</v>
      </c>
      <c r="F16" s="19">
        <v>70</v>
      </c>
      <c r="G16" s="20">
        <f t="shared" si="2"/>
        <v>79.525022509999999</v>
      </c>
      <c r="H16" s="21">
        <v>500.3</v>
      </c>
      <c r="I16" s="19">
        <v>-84.81</v>
      </c>
      <c r="J16" s="20">
        <f>IF(OR(E16="",H16=""),"",DEGREES(E16*H16))</f>
        <v>-95.550261634650298</v>
      </c>
      <c r="K16" s="18">
        <f>IF(OR(H16="",I16="",H16=0),"",RADIANS(I16)/H16)</f>
        <v>-2.9586522858612652E-3</v>
      </c>
      <c r="L16" s="22">
        <f t="shared" si="5"/>
        <v>-0.11240431424162049</v>
      </c>
      <c r="M16" s="17">
        <f t="shared" si="6"/>
        <v>-337.99172845649196</v>
      </c>
      <c r="N16" s="14" t="str">
        <f t="shared" si="7"/>
        <v>UNDER</v>
      </c>
      <c r="O16" s="15"/>
      <c r="P16" s="2"/>
      <c r="Q16" s="11">
        <f t="shared" si="8"/>
        <v>70</v>
      </c>
      <c r="R16" s="11">
        <f t="shared" si="9"/>
        <v>2.9586522858612652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>IF(OR(B17&lt;&gt;"",C17&lt;&gt;"",F17&lt;&gt;"",H17&lt;&gt;"",I17&lt;&gt;""),$B$7,"")</f>
        <v>-300</v>
      </c>
      <c r="E17" s="18">
        <f t="shared" si="1"/>
        <v>-3.3333333333333335E-3</v>
      </c>
      <c r="F17" s="19">
        <v>80</v>
      </c>
      <c r="G17" s="20">
        <f t="shared" si="2"/>
        <v>89.525022509999999</v>
      </c>
      <c r="H17" s="21">
        <v>500.1</v>
      </c>
      <c r="I17" s="19">
        <v>-92.57</v>
      </c>
      <c r="J17" s="20">
        <f>IF(OR(E17="",H17=""),"",DEGREES(E17*H17))</f>
        <v>-95.512064448308251</v>
      </c>
      <c r="K17" s="18">
        <f>IF(OR(H17="",I17="",H17=0),"",RADIANS(I17)/H17)</f>
        <v>-3.2306564458531306E-3</v>
      </c>
      <c r="L17" s="22">
        <f t="shared" si="5"/>
        <v>-3.080306624406088E-2</v>
      </c>
      <c r="M17" s="17">
        <f t="shared" si="6"/>
        <v>-309.53461525864185</v>
      </c>
      <c r="N17" s="14" t="str">
        <f t="shared" si="7"/>
        <v>UNDER</v>
      </c>
      <c r="O17" s="15"/>
      <c r="P17" s="2"/>
      <c r="Q17" s="11">
        <f t="shared" si="8"/>
        <v>80</v>
      </c>
      <c r="R17" s="11">
        <f t="shared" si="9"/>
        <v>3.2306564458531306</v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>
        <f t="shared" si="0"/>
        <v>-300</v>
      </c>
      <c r="E18" s="18">
        <f t="shared" si="1"/>
        <v>-3.3333333333333335E-3</v>
      </c>
      <c r="F18" s="19">
        <v>85</v>
      </c>
      <c r="G18" s="20">
        <f t="shared" si="2"/>
        <v>94.525022509999999</v>
      </c>
      <c r="H18" s="21">
        <v>500.7</v>
      </c>
      <c r="I18" s="19">
        <v>-96.16</v>
      </c>
      <c r="J18" s="20">
        <f t="shared" si="3"/>
        <v>-95.626656007334404</v>
      </c>
      <c r="K18" s="18">
        <f t="shared" si="4"/>
        <v>-3.3519245231031503E-3</v>
      </c>
      <c r="L18" s="22">
        <f t="shared" si="5"/>
        <v>5.5773569309450124E-3</v>
      </c>
      <c r="M18" s="17">
        <f t="shared" si="6"/>
        <v>-298.33607323419631</v>
      </c>
      <c r="N18" s="14" t="str">
        <f t="shared" si="7"/>
        <v>ACCEPT</v>
      </c>
      <c r="O18" s="15"/>
      <c r="P18" s="2"/>
      <c r="Q18" s="11">
        <f t="shared" si="8"/>
        <v>85</v>
      </c>
      <c r="R18" s="11">
        <f t="shared" si="9"/>
        <v>3.3519245231031505</v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>
        <f t="shared" si="0"/>
        <v>-300</v>
      </c>
      <c r="E19" s="18">
        <f t="shared" si="1"/>
        <v>-3.3333333333333335E-3</v>
      </c>
      <c r="F19" s="19">
        <v>84.2</v>
      </c>
      <c r="G19" s="20">
        <f t="shared" si="2"/>
        <v>93.725022510000002</v>
      </c>
      <c r="H19" s="21">
        <v>500.3</v>
      </c>
      <c r="I19" s="19">
        <v>-95.77</v>
      </c>
      <c r="J19" s="20">
        <f t="shared" si="3"/>
        <v>-95.550261634650298</v>
      </c>
      <c r="K19" s="18">
        <f t="shared" si="4"/>
        <v>-3.3409990498400348E-3</v>
      </c>
      <c r="L19" s="22">
        <f t="shared" si="5"/>
        <v>2.2997149520103625E-3</v>
      </c>
      <c r="M19" s="17">
        <f t="shared" si="6"/>
        <v>-299.31166848068381</v>
      </c>
      <c r="N19" s="14" t="str">
        <f t="shared" si="7"/>
        <v>ACCEPT</v>
      </c>
      <c r="O19" s="15"/>
      <c r="P19" s="2"/>
      <c r="Q19" s="11">
        <f t="shared" si="8"/>
        <v>84.2</v>
      </c>
      <c r="R19" s="11">
        <f t="shared" si="9"/>
        <v>3.3409990498400348</v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31" priority="1">
      <formula>N15="ACCEPT"</formula>
    </cfRule>
    <cfRule type="expression" dxfId="30" priority="2">
      <formula>N15="UNDER"</formula>
    </cfRule>
    <cfRule type="expression" dxfId="29" priority="3">
      <formula>N15="OVER"</formula>
    </cfRule>
    <cfRule type="expression" dxfId="28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7E45-1E41-4FE3-979A-5D3A4A8359DC}">
  <dimension ref="A1:X64"/>
  <sheetViews>
    <sheetView topLeftCell="A4" zoomScale="75" workbookViewId="0">
      <selection activeCell="B5" sqref="B5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>
        <v>3</v>
      </c>
      <c r="F5" s="2"/>
      <c r="G5" s="2" t="s">
        <v>9</v>
      </c>
      <c r="H5" s="9">
        <f>IF(OR(E7="",E8="",E9="",E10="",E10=E8),"",E7+($B$8-E8)/(E10-E8)*(E9-E7))</f>
        <v>47.597885193582087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4</v>
      </c>
      <c r="F6" s="2"/>
      <c r="G6" s="2" t="s">
        <v>12</v>
      </c>
      <c r="H6" s="9">
        <f>IF(H5="","",ROUND(H5,1))</f>
        <v>47.6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-500</v>
      </c>
      <c r="C7" s="2"/>
      <c r="D7" s="2" t="s">
        <v>14</v>
      </c>
      <c r="E7" s="2">
        <f>IF(E5="","",IFERROR(INDEX($F$15:$F$64,MATCH(E5,$A$15:$A$64,0)),""))</f>
        <v>47</v>
      </c>
      <c r="F7" s="2"/>
      <c r="G7" s="2" t="s">
        <v>15</v>
      </c>
      <c r="H7" s="10">
        <f>$B$8</f>
        <v>-2E-3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-2E-3</v>
      </c>
      <c r="C8" s="2"/>
      <c r="D8" s="2" t="s">
        <v>17</v>
      </c>
      <c r="E8" s="2">
        <f>IF(E5="","",IFERROR(INDEX($K$15:$K$64,MATCH(E5,$A$15:$A$64,0)),""))</f>
        <v>-1.9940386704035214E-3</v>
      </c>
      <c r="F8" s="2"/>
      <c r="G8" s="2" t="s">
        <v>18</v>
      </c>
      <c r="H8" s="11">
        <f>DEGREES($B$8*$B$5)</f>
        <v>-114.59155902616465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47.5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-1.999024016804862E-3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-500</v>
      </c>
      <c r="E15" s="18">
        <f t="shared" ref="E15:E64" si="1">IF(D15="","",1/D15)</f>
        <v>-2E-3</v>
      </c>
      <c r="F15" s="19">
        <v>42</v>
      </c>
      <c r="G15" s="20">
        <f t="shared" ref="G15:G64" si="2">IF(F15="","",F15-$B$4)</f>
        <v>51.525022509999999</v>
      </c>
      <c r="H15" s="21">
        <v>1000.9</v>
      </c>
      <c r="I15" s="19">
        <v>-106.46</v>
      </c>
      <c r="J15" s="20">
        <f t="shared" ref="J15:J64" si="3">IF(OR(E15="",H15=""),"",DEGREES(E15*H15))</f>
        <v>-114.69469142928818</v>
      </c>
      <c r="K15" s="18">
        <f t="shared" ref="K15:K64" si="4">IF(OR(H15="",I15="",H15=0),"",RADIANS(I15)/H15)</f>
        <v>-1.8564067555931294E-3</v>
      </c>
      <c r="L15" s="22">
        <f t="shared" ref="L15:L64" si="5">IF(OR(K15="",E15="",E15=0),"",(ABS(K15)-ABS(E15))/ABS(E15))</f>
        <v>-7.1796622203435315E-2</v>
      </c>
      <c r="M15" s="17">
        <f t="shared" ref="M15:M64" si="6">IF(OR(K15="",K15=0),"",1/K15)</f>
        <v>-538.67504898219136</v>
      </c>
      <c r="N15" s="14" t="str">
        <f t="shared" ref="N15:N64" si="7">IF(OR(K15="",E15=""),"",IF(SIGN(K15)&lt;&gt;SIGN(E15),"WRONG SIGN",IF(ABS(L15)&lt;=$B$9,"ACCEPT",IF(ABS(K15)&lt;ABS(E15),"UNDER","OVER"))))</f>
        <v>UNDER</v>
      </c>
      <c r="O15" s="15"/>
      <c r="P15" s="2"/>
      <c r="Q15" s="11">
        <f t="shared" ref="Q15:Q64" si="8">IF(F15="","",F15)</f>
        <v>42</v>
      </c>
      <c r="R15" s="11">
        <f t="shared" ref="R15:R64" si="9">IF(K15="","",ABS(K15)*1000)</f>
        <v>1.8564067555931294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 t="shared" si="0"/>
        <v>-500</v>
      </c>
      <c r="E16" s="18">
        <f t="shared" si="1"/>
        <v>-2E-3</v>
      </c>
      <c r="F16" s="19">
        <v>46</v>
      </c>
      <c r="G16" s="20">
        <f t="shared" si="2"/>
        <v>55.525022509999999</v>
      </c>
      <c r="H16" s="21">
        <v>1000</v>
      </c>
      <c r="I16" s="19">
        <v>-111.63</v>
      </c>
      <c r="J16" s="20">
        <f t="shared" si="3"/>
        <v>-114.59155902616465</v>
      </c>
      <c r="K16" s="18">
        <f t="shared" si="4"/>
        <v>-1.9483110440012702E-3</v>
      </c>
      <c r="L16" s="22">
        <f t="shared" si="5"/>
        <v>-2.5844477999364936E-2</v>
      </c>
      <c r="M16" s="17">
        <f t="shared" si="6"/>
        <v>-513.26506775134214</v>
      </c>
      <c r="N16" s="14" t="str">
        <f t="shared" si="7"/>
        <v>UNDER</v>
      </c>
      <c r="O16" s="15"/>
      <c r="P16" s="2"/>
      <c r="Q16" s="11">
        <f t="shared" si="8"/>
        <v>46</v>
      </c>
      <c r="R16" s="11">
        <f t="shared" si="9"/>
        <v>1.9483110440012701</v>
      </c>
      <c r="S16" s="2"/>
      <c r="T16" s="2"/>
      <c r="U16" s="2"/>
      <c r="V16" s="2"/>
      <c r="W16" s="2"/>
      <c r="X16" s="2"/>
    </row>
    <row r="17" spans="1:24" ht="14.1">
      <c r="A17" s="14">
        <v>3</v>
      </c>
      <c r="B17" s="15"/>
      <c r="C17" s="16">
        <v>10.55</v>
      </c>
      <c r="D17" s="17">
        <f t="shared" si="0"/>
        <v>-500</v>
      </c>
      <c r="E17" s="18">
        <f t="shared" si="1"/>
        <v>-2E-3</v>
      </c>
      <c r="F17" s="19">
        <v>47</v>
      </c>
      <c r="G17" s="20">
        <f t="shared" si="2"/>
        <v>56.525022509999999</v>
      </c>
      <c r="H17" s="21">
        <v>1000</v>
      </c>
      <c r="I17" s="19">
        <v>-114.25</v>
      </c>
      <c r="J17" s="20">
        <f t="shared" si="3"/>
        <v>-114.59155902616465</v>
      </c>
      <c r="K17" s="18">
        <f t="shared" si="4"/>
        <v>-1.9940386704035214E-3</v>
      </c>
      <c r="L17" s="22">
        <f t="shared" si="5"/>
        <v>-2.980664798239328E-3</v>
      </c>
      <c r="M17" s="17">
        <f t="shared" si="6"/>
        <v>-501.49478786067681</v>
      </c>
      <c r="N17" s="14" t="str">
        <f t="shared" si="7"/>
        <v>ACCEPT</v>
      </c>
      <c r="O17" s="15"/>
      <c r="P17" s="2"/>
      <c r="Q17" s="11">
        <f t="shared" si="8"/>
        <v>47</v>
      </c>
      <c r="R17" s="11">
        <f t="shared" si="9"/>
        <v>1.9940386704035213</v>
      </c>
      <c r="S17" s="2"/>
      <c r="T17" s="2"/>
      <c r="U17" s="2"/>
      <c r="V17" s="2"/>
      <c r="W17" s="2"/>
      <c r="X17" s="2"/>
    </row>
    <row r="18" spans="1:24" ht="14.1">
      <c r="A18" s="14">
        <v>4</v>
      </c>
      <c r="B18" s="15"/>
      <c r="C18" s="16"/>
      <c r="D18" s="17">
        <f t="shared" si="0"/>
        <v>-500</v>
      </c>
      <c r="E18" s="18">
        <f t="shared" si="1"/>
        <v>-2E-3</v>
      </c>
      <c r="F18" s="19">
        <v>47.5</v>
      </c>
      <c r="G18" s="20">
        <f t="shared" si="2"/>
        <v>57.025022509999999</v>
      </c>
      <c r="H18" s="21">
        <v>1000.3</v>
      </c>
      <c r="I18" s="19">
        <v>-114.57</v>
      </c>
      <c r="J18" s="20">
        <f t="shared" si="3"/>
        <v>-114.62593649387249</v>
      </c>
      <c r="K18" s="18">
        <f t="shared" si="4"/>
        <v>-1.999024016804862E-3</v>
      </c>
      <c r="L18" s="22">
        <f t="shared" si="5"/>
        <v>-4.8799159756899961E-4</v>
      </c>
      <c r="M18" s="17">
        <f t="shared" si="6"/>
        <v>-500.24411492481664</v>
      </c>
      <c r="N18" s="14" t="str">
        <f t="shared" si="7"/>
        <v>ACCEPT</v>
      </c>
      <c r="O18" s="15"/>
      <c r="P18" s="2"/>
      <c r="Q18" s="11">
        <f t="shared" si="8"/>
        <v>47.5</v>
      </c>
      <c r="R18" s="11">
        <f t="shared" si="9"/>
        <v>1.9990240168048621</v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0"/>
        <v/>
      </c>
      <c r="E19" s="18" t="str">
        <f t="shared" si="1"/>
        <v/>
      </c>
      <c r="F19" s="19"/>
      <c r="G19" s="20" t="str">
        <f t="shared" si="2"/>
        <v/>
      </c>
      <c r="H19" s="21"/>
      <c r="I19" s="19"/>
      <c r="J19" s="20" t="str">
        <f t="shared" si="3"/>
        <v/>
      </c>
      <c r="K19" s="18" t="str">
        <f t="shared" si="4"/>
        <v/>
      </c>
      <c r="L19" s="22" t="str">
        <f t="shared" si="5"/>
        <v/>
      </c>
      <c r="M19" s="17" t="str">
        <f t="shared" si="6"/>
        <v/>
      </c>
      <c r="N19" s="14" t="str">
        <f t="shared" si="7"/>
        <v/>
      </c>
      <c r="O19" s="15"/>
      <c r="P19" s="2"/>
      <c r="Q19" s="11" t="str">
        <f t="shared" si="8"/>
        <v/>
      </c>
      <c r="R19" s="11" t="str">
        <f t="shared" si="9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27" priority="1">
      <formula>N15="ACCEPT"</formula>
    </cfRule>
    <cfRule type="expression" dxfId="26" priority="2">
      <formula>N15="UNDER"</formula>
    </cfRule>
    <cfRule type="expression" dxfId="25" priority="3">
      <formula>N15="OVER"</formula>
    </cfRule>
    <cfRule type="expression" dxfId="24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FDE6-FC10-4520-917D-B3FD02254657}">
  <dimension ref="A1:X64"/>
  <sheetViews>
    <sheetView topLeftCell="A4" workbookViewId="0">
      <selection activeCell="E17" sqref="E17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/>
      <c r="F5" s="2"/>
      <c r="G5" s="2" t="s">
        <v>9</v>
      </c>
      <c r="H5" s="9" t="str">
        <f>IF(OR(E7="",E8="",E9="",E10="",E10=E8),"",E7+($B$8-E8)/(E10-E8)*(E9-E7))</f>
        <v/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/>
      <c r="F6" s="2"/>
      <c r="G6" s="2" t="s">
        <v>12</v>
      </c>
      <c r="H6" s="9" t="str">
        <f>IF(H5="","",ROUND(H5,1))</f>
        <v/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-1500</v>
      </c>
      <c r="C7" s="2"/>
      <c r="D7" s="2" t="s">
        <v>14</v>
      </c>
      <c r="E7" s="2" t="str">
        <f>IF(E5="","",IFERROR(INDEX($F$15:$F$64,MATCH(E5,$A$15:$A$64,0)),""))</f>
        <v/>
      </c>
      <c r="F7" s="2"/>
      <c r="G7" s="2" t="s">
        <v>15</v>
      </c>
      <c r="H7" s="10">
        <f>$B$8</f>
        <v>-6.6666666666666664E-4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-6.6666666666666664E-4</v>
      </c>
      <c r="C8" s="2"/>
      <c r="D8" s="2" t="s">
        <v>17</v>
      </c>
      <c r="E8" s="2" t="str">
        <f>IF(E5="","",IFERROR(INDEX($K$15:$K$64,MATCH(E5,$A$15:$A$64,0)),""))</f>
        <v/>
      </c>
      <c r="F8" s="2"/>
      <c r="G8" s="2" t="s">
        <v>18</v>
      </c>
      <c r="H8" s="11">
        <f>DEGREES($B$8*$B$5)</f>
        <v>-38.197186342054877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 t="str">
        <f>IF(E6="","",IFERROR(INDEX($F$15:$F$64,MATCH(E6,$A$15:$A$64,0)),""))</f>
        <v/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 t="str">
        <f>IF(E6="","",IFERROR(INDEX($K$15:$K$64,MATCH(E6,$A$15:$A$64,0)),""))</f>
        <v/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-1500</v>
      </c>
      <c r="E15" s="18">
        <f t="shared" ref="E15:E64" si="1">IF(D15="","",1/D15)</f>
        <v>-6.6666666666666664E-4</v>
      </c>
      <c r="F15" s="19">
        <v>14.5</v>
      </c>
      <c r="G15" s="20">
        <f t="shared" ref="G15:G64" si="2">IF(F15="","",F15-$B$4)</f>
        <v>24.025022509999999</v>
      </c>
      <c r="H15" s="21">
        <v>1001.2</v>
      </c>
      <c r="I15" s="19">
        <v>-31.45</v>
      </c>
      <c r="J15" s="20">
        <f t="shared" ref="J15:J64" si="3">IF(OR(E15="",H15=""),"",DEGREES(E15*H15))</f>
        <v>-38.243022965665347</v>
      </c>
      <c r="K15" s="18">
        <f t="shared" ref="K15:K64" si="4">IF(OR(H15="",I15="",H15=0),"",RADIANS(I15)/H15)</f>
        <v>-5.4824815196985281E-4</v>
      </c>
      <c r="L15" s="22">
        <f t="shared" ref="L15:L64" si="5">IF(OR(K15="",E15="",E15=0),"",(ABS(K15)-ABS(E15))/ABS(E15))</f>
        <v>-0.17762777204522076</v>
      </c>
      <c r="M15" s="17">
        <f t="shared" ref="M15:M64" si="6">IF(OR(K15="",K15=0),"",1/K15)</f>
        <v>-1823.991556391034</v>
      </c>
      <c r="N15" s="14" t="str">
        <f t="shared" ref="N15:N64" si="7">IF(OR(K15="",E15=""),"",IF(SIGN(K15)&lt;&gt;SIGN(E15),"WRONG SIGN",IF(ABS(L15)&lt;=$B$9,"ACCEPT",IF(ABS(K15)&lt;ABS(E15),"UNDER","OVER"))))</f>
        <v>UNDER</v>
      </c>
      <c r="O15" s="15"/>
      <c r="P15" s="2"/>
      <c r="Q15" s="11">
        <f t="shared" ref="Q15:Q64" si="8">IF(F15="","",F15)</f>
        <v>14.5</v>
      </c>
      <c r="R15" s="11">
        <f t="shared" ref="R15:R64" si="9">IF(K15="","",ABS(K15)*1000)</f>
        <v>0.54824815196985277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 t="shared" si="0"/>
        <v>-1500</v>
      </c>
      <c r="E16" s="18">
        <f t="shared" si="1"/>
        <v>-6.6666666666666664E-4</v>
      </c>
      <c r="F16" s="19">
        <v>16</v>
      </c>
      <c r="G16" s="20">
        <f t="shared" si="2"/>
        <v>25.525022509999999</v>
      </c>
      <c r="H16" s="21">
        <v>1002</v>
      </c>
      <c r="I16" s="19">
        <v>-36.54</v>
      </c>
      <c r="J16" s="20">
        <f t="shared" si="3"/>
        <v>-38.273580714738991</v>
      </c>
      <c r="K16" s="18">
        <f t="shared" si="4"/>
        <v>-6.364703679428423E-4</v>
      </c>
      <c r="L16" s="22">
        <f t="shared" si="5"/>
        <v>-4.5294448085736516E-2</v>
      </c>
      <c r="M16" s="17">
        <f t="shared" si="6"/>
        <v>-1571.165053971223</v>
      </c>
      <c r="N16" s="14" t="str">
        <f t="shared" si="7"/>
        <v>UNDER</v>
      </c>
      <c r="O16" s="15"/>
      <c r="P16" s="2"/>
      <c r="Q16" s="11">
        <f t="shared" si="8"/>
        <v>16</v>
      </c>
      <c r="R16" s="11">
        <f t="shared" si="9"/>
        <v>0.63647036794284229</v>
      </c>
      <c r="S16" s="2"/>
      <c r="T16" s="2"/>
      <c r="U16" s="2"/>
      <c r="V16" s="2"/>
      <c r="W16" s="2"/>
      <c r="X16" s="2"/>
    </row>
    <row r="17" spans="1:24" ht="14.1">
      <c r="A17" s="14">
        <v>3</v>
      </c>
      <c r="B17" s="15"/>
      <c r="C17" s="16">
        <v>10.55</v>
      </c>
      <c r="D17" s="17">
        <f t="shared" si="0"/>
        <v>-1500</v>
      </c>
      <c r="E17" s="18">
        <f t="shared" si="1"/>
        <v>-6.6666666666666664E-4</v>
      </c>
      <c r="F17" s="19">
        <v>16.5</v>
      </c>
      <c r="G17" s="20">
        <f t="shared" si="2"/>
        <v>26.025022509999999</v>
      </c>
      <c r="H17" s="21">
        <v>1000.9</v>
      </c>
      <c r="I17" s="19">
        <v>-37.64</v>
      </c>
      <c r="J17" s="20">
        <f t="shared" si="3"/>
        <v>-38.231563809762733</v>
      </c>
      <c r="K17" s="18">
        <f t="shared" si="4"/>
        <v>-6.5635121435774369E-4</v>
      </c>
      <c r="L17" s="22">
        <f t="shared" si="5"/>
        <v>-1.547317846338443E-2</v>
      </c>
      <c r="M17" s="17">
        <f t="shared" si="6"/>
        <v>-1523.5745407716283</v>
      </c>
      <c r="N17" s="14" t="str">
        <f t="shared" si="7"/>
        <v>ACCEPT</v>
      </c>
      <c r="O17" s="15"/>
      <c r="P17" s="2"/>
      <c r="Q17" s="11">
        <f t="shared" si="8"/>
        <v>16.5</v>
      </c>
      <c r="R17" s="11">
        <f t="shared" si="9"/>
        <v>0.65635121435774368</v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/>
      <c r="D18" s="17" t="str">
        <f t="shared" si="0"/>
        <v/>
      </c>
      <c r="E18" s="18" t="str">
        <f t="shared" si="1"/>
        <v/>
      </c>
      <c r="F18" s="19"/>
      <c r="G18" s="20" t="str">
        <f t="shared" si="2"/>
        <v/>
      </c>
      <c r="H18" s="21"/>
      <c r="I18" s="19"/>
      <c r="J18" s="20" t="str">
        <f t="shared" si="3"/>
        <v/>
      </c>
      <c r="K18" s="18" t="str">
        <f t="shared" si="4"/>
        <v/>
      </c>
      <c r="L18" s="22" t="str">
        <f t="shared" si="5"/>
        <v/>
      </c>
      <c r="M18" s="17" t="str">
        <f t="shared" si="6"/>
        <v/>
      </c>
      <c r="N18" s="14" t="str">
        <f t="shared" si="7"/>
        <v/>
      </c>
      <c r="O18" s="15"/>
      <c r="P18" s="2"/>
      <c r="Q18" s="11" t="str">
        <f t="shared" si="8"/>
        <v/>
      </c>
      <c r="R18" s="11" t="str">
        <f t="shared" si="9"/>
        <v/>
      </c>
      <c r="S18" s="2"/>
      <c r="T18" s="2"/>
      <c r="U18" s="2"/>
      <c r="V18" s="2"/>
      <c r="W18" s="2"/>
      <c r="X18" s="2"/>
    </row>
    <row r="19" spans="1:24">
      <c r="A19" s="14">
        <v>5</v>
      </c>
      <c r="B19" s="15"/>
      <c r="C19" s="16"/>
      <c r="D19" s="17" t="str">
        <f t="shared" si="0"/>
        <v/>
      </c>
      <c r="E19" s="18" t="str">
        <f t="shared" si="1"/>
        <v/>
      </c>
      <c r="F19" s="19"/>
      <c r="G19" s="20" t="str">
        <f t="shared" si="2"/>
        <v/>
      </c>
      <c r="H19" s="21"/>
      <c r="I19" s="19"/>
      <c r="J19" s="20" t="str">
        <f t="shared" si="3"/>
        <v/>
      </c>
      <c r="K19" s="18" t="str">
        <f t="shared" si="4"/>
        <v/>
      </c>
      <c r="L19" s="22" t="str">
        <f t="shared" si="5"/>
        <v/>
      </c>
      <c r="M19" s="17" t="str">
        <f t="shared" si="6"/>
        <v/>
      </c>
      <c r="N19" s="14" t="str">
        <f t="shared" si="7"/>
        <v/>
      </c>
      <c r="O19" s="15"/>
      <c r="P19" s="2"/>
      <c r="Q19" s="11" t="str">
        <f t="shared" si="8"/>
        <v/>
      </c>
      <c r="R19" s="11" t="str">
        <f t="shared" si="9"/>
        <v/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23" priority="1">
      <formula>N15="ACCEPT"</formula>
    </cfRule>
    <cfRule type="expression" dxfId="22" priority="2">
      <formula>N15="UNDER"</formula>
    </cfRule>
    <cfRule type="expression" dxfId="21" priority="3">
      <formula>N15="OVER"</formula>
    </cfRule>
    <cfRule type="expression" dxfId="20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18AA-F0EB-440C-9DB6-E60363BC63DF}">
  <dimension ref="A1:X64"/>
  <sheetViews>
    <sheetView topLeftCell="A5" zoomScale="75" workbookViewId="0">
      <selection activeCell="D31" sqref="D31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>
        <v>3</v>
      </c>
      <c r="F5" s="2"/>
      <c r="G5" s="2" t="s">
        <v>9</v>
      </c>
      <c r="H5" s="9">
        <f>IF(OR(E7="",E8="",E9="",E10="",E10=E8),"",E7+($B$8-E8)/(E10-E8)*(E9-E7))</f>
        <v>23.780908232423101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4</v>
      </c>
      <c r="F6" s="2"/>
      <c r="G6" s="2" t="s">
        <v>12</v>
      </c>
      <c r="H6" s="9">
        <f>IF(H5="","",ROUND(H5,1))</f>
        <v>23.8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-1000</v>
      </c>
      <c r="C7" s="2"/>
      <c r="D7" s="2" t="s">
        <v>14</v>
      </c>
      <c r="E7" s="2">
        <f>IF(E5="","",IFERROR(INDEX($F$15:$F$64,MATCH(E5,$A$15:$A$64,0)),""))</f>
        <v>23</v>
      </c>
      <c r="F7" s="2"/>
      <c r="G7" s="2" t="s">
        <v>15</v>
      </c>
      <c r="H7" s="10">
        <f>$B$8</f>
        <v>-1E-3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-1E-3</v>
      </c>
      <c r="C8" s="2"/>
      <c r="D8" s="2" t="s">
        <v>17</v>
      </c>
      <c r="E8" s="2">
        <f>IF(E5="","",IFERROR(INDEX($K$15:$K$64,MATCH(E5,$A$15:$A$64,0)),""))</f>
        <v>-9.7090586398525822E-4</v>
      </c>
      <c r="F8" s="2"/>
      <c r="G8" s="2" t="s">
        <v>18</v>
      </c>
      <c r="H8" s="11">
        <f>DEGREES($B$8*$B$5)</f>
        <v>-57.295779513082323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-1.0454194490821008E-3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10.55</v>
      </c>
      <c r="D15" s="17">
        <f t="shared" ref="D15:D64" si="0">IF(OR(B15&lt;&gt;"",C15&lt;&gt;"",F15&lt;&gt;"",H15&lt;&gt;"",I15&lt;&gt;""),$B$7,"")</f>
        <v>-1000</v>
      </c>
      <c r="E15" s="18">
        <f t="shared" ref="E15:E64" si="1">IF(D15="","",1/D15)</f>
        <v>-1E-3</v>
      </c>
      <c r="F15" s="19">
        <v>22</v>
      </c>
      <c r="G15" s="20">
        <f t="shared" ref="G15:G64" si="2">IF(F15="","",F15-$B$4)</f>
        <v>31.525022509999999</v>
      </c>
      <c r="H15" s="21">
        <v>1001</v>
      </c>
      <c r="I15" s="19">
        <v>-54.07</v>
      </c>
      <c r="J15" s="20">
        <f t="shared" ref="J15:J64" si="3">IF(OR(E15="",H15=""),"",DEGREES(E15*H15))</f>
        <v>-57.353075292595413</v>
      </c>
      <c r="K15" s="18">
        <f t="shared" ref="K15:K64" si="4">IF(OR(H15="",I15="",H15=0),"",RADIANS(I15)/H15)</f>
        <v>-9.4275676978355049E-4</v>
      </c>
      <c r="L15" s="22">
        <f t="shared" ref="L15:L64" si="5">IF(OR(K15="",E15="",E15=0),"",(ABS(K15)-ABS(E15))/ABS(E15))</f>
        <v>-5.7243230216449531E-2</v>
      </c>
      <c r="M15" s="17">
        <f t="shared" ref="M15:M64" si="6">IF(OR(K15="",K15=0),"",1/K15)</f>
        <v>-1060.718980813675</v>
      </c>
      <c r="N15" s="14" t="str">
        <f t="shared" ref="N15:N64" si="7">IF(OR(K15="",E15=""),"",IF(SIGN(K15)&lt;&gt;SIGN(E15),"WRONG SIGN",IF(ABS(L15)&lt;=$B$9,"ACCEPT",IF(ABS(K15)&lt;ABS(E15),"UNDER","OVER"))))</f>
        <v>UNDER</v>
      </c>
      <c r="O15" s="15"/>
      <c r="P15" s="2"/>
      <c r="Q15" s="11">
        <f t="shared" ref="Q15:Q64" si="8">IF(F15="","",F15)</f>
        <v>22</v>
      </c>
      <c r="R15" s="11">
        <f t="shared" ref="R15:R64" si="9">IF(K15="","",ABS(K15)*1000)</f>
        <v>0.9427567697835505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 t="s">
        <v>60</v>
      </c>
      <c r="C16" s="16">
        <v>10.55</v>
      </c>
      <c r="D16" s="17">
        <f t="shared" si="0"/>
        <v>-1000</v>
      </c>
      <c r="E16" s="18">
        <f t="shared" si="1"/>
        <v>-1E-3</v>
      </c>
      <c r="F16" s="19">
        <v>22.5</v>
      </c>
      <c r="G16" s="20">
        <f t="shared" si="2"/>
        <v>32.025022509999999</v>
      </c>
      <c r="H16" s="21">
        <v>1001</v>
      </c>
      <c r="I16" s="19">
        <v>-55.46</v>
      </c>
      <c r="J16" s="20">
        <f t="shared" si="3"/>
        <v>-57.353075292595413</v>
      </c>
      <c r="K16" s="18">
        <f t="shared" si="4"/>
        <v>-9.6699261054550973E-4</v>
      </c>
      <c r="L16" s="22">
        <f t="shared" si="5"/>
        <v>-3.3007389454490298E-2</v>
      </c>
      <c r="M16" s="17">
        <f t="shared" si="6"/>
        <v>-1034.1340658599963</v>
      </c>
      <c r="N16" s="14" t="str">
        <f t="shared" si="7"/>
        <v>UNDER</v>
      </c>
      <c r="O16" s="15"/>
      <c r="P16" s="2"/>
      <c r="Q16" s="11">
        <f t="shared" si="8"/>
        <v>22.5</v>
      </c>
      <c r="R16" s="11">
        <f t="shared" si="9"/>
        <v>0.96699261054550978</v>
      </c>
      <c r="S16" s="2"/>
      <c r="T16" s="2"/>
      <c r="U16" s="2"/>
      <c r="V16" s="2"/>
      <c r="W16" s="2"/>
      <c r="X16" s="2"/>
    </row>
    <row r="17" spans="1:24">
      <c r="A17" s="14">
        <v>3</v>
      </c>
      <c r="B17" s="15"/>
      <c r="C17" s="16">
        <v>10.55</v>
      </c>
      <c r="D17" s="17">
        <f t="shared" si="0"/>
        <v>-1000</v>
      </c>
      <c r="E17" s="18">
        <f t="shared" si="1"/>
        <v>-1E-3</v>
      </c>
      <c r="F17" s="19">
        <v>23</v>
      </c>
      <c r="G17" s="20">
        <f t="shared" si="2"/>
        <v>32.525022509999999</v>
      </c>
      <c r="H17" s="21">
        <v>1001.1</v>
      </c>
      <c r="I17" s="19">
        <v>-55.69</v>
      </c>
      <c r="J17" s="20">
        <f t="shared" si="3"/>
        <v>-57.35880487054672</v>
      </c>
      <c r="K17" s="18">
        <f t="shared" si="4"/>
        <v>-9.7090586398525822E-4</v>
      </c>
      <c r="L17" s="22">
        <f t="shared" si="5"/>
        <v>-2.9094136014741805E-2</v>
      </c>
      <c r="M17" s="17">
        <f t="shared" si="6"/>
        <v>-1029.9659700223867</v>
      </c>
      <c r="N17" s="14" t="str">
        <f t="shared" si="7"/>
        <v>UNDER</v>
      </c>
      <c r="O17" s="15"/>
      <c r="P17" s="2"/>
      <c r="Q17" s="11">
        <f t="shared" si="8"/>
        <v>23</v>
      </c>
      <c r="R17" s="11">
        <f t="shared" si="9"/>
        <v>0.97090586398525824</v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/>
      <c r="D18" s="17">
        <f t="shared" si="0"/>
        <v>-1000</v>
      </c>
      <c r="E18" s="18">
        <f t="shared" si="1"/>
        <v>-1E-3</v>
      </c>
      <c r="F18" s="19">
        <v>25</v>
      </c>
      <c r="G18" s="20">
        <f t="shared" si="2"/>
        <v>34.525022509999999</v>
      </c>
      <c r="H18" s="21">
        <v>1001.2</v>
      </c>
      <c r="I18" s="19">
        <v>-59.97</v>
      </c>
      <c r="J18" s="20">
        <f t="shared" si="3"/>
        <v>-57.364534448498027</v>
      </c>
      <c r="K18" s="18">
        <f t="shared" si="4"/>
        <v>-1.0454194490821008E-3</v>
      </c>
      <c r="L18" s="22">
        <f t="shared" si="5"/>
        <v>4.541944908210082E-2</v>
      </c>
      <c r="M18" s="17">
        <f t="shared" si="6"/>
        <v>-956.55385106716733</v>
      </c>
      <c r="N18" s="14" t="str">
        <f t="shared" si="7"/>
        <v>OVER</v>
      </c>
      <c r="O18" s="15"/>
      <c r="P18" s="2"/>
      <c r="Q18" s="11">
        <f t="shared" si="8"/>
        <v>25</v>
      </c>
      <c r="R18" s="11">
        <f t="shared" si="9"/>
        <v>1.0454194490821009</v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/>
      <c r="D19" s="17">
        <f t="shared" si="0"/>
        <v>-1000</v>
      </c>
      <c r="E19" s="18">
        <f t="shared" si="1"/>
        <v>-1E-3</v>
      </c>
      <c r="F19" s="19">
        <v>23.8</v>
      </c>
      <c r="G19" s="20">
        <f t="shared" si="2"/>
        <v>33.325022509999997</v>
      </c>
      <c r="H19" s="21">
        <v>1001.5</v>
      </c>
      <c r="I19" s="19">
        <v>-57.25</v>
      </c>
      <c r="J19" s="20">
        <f t="shared" si="3"/>
        <v>-57.381723182351948</v>
      </c>
      <c r="K19" s="18">
        <f t="shared" si="4"/>
        <v>-9.9770444010659383E-4</v>
      </c>
      <c r="L19" s="22">
        <f t="shared" si="5"/>
        <v>-2.2955598934061919E-3</v>
      </c>
      <c r="M19" s="17">
        <f t="shared" si="6"/>
        <v>-1002.3008416131344</v>
      </c>
      <c r="N19" s="14" t="str">
        <f t="shared" si="7"/>
        <v>ACCEPT</v>
      </c>
      <c r="O19" s="15"/>
      <c r="P19" s="2"/>
      <c r="Q19" s="11">
        <f t="shared" si="8"/>
        <v>23.8</v>
      </c>
      <c r="R19" s="11">
        <f t="shared" si="9"/>
        <v>0.99770444010659387</v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si="0"/>
        <v/>
      </c>
      <c r="E47" s="18" t="str">
        <f t="shared" si="1"/>
        <v/>
      </c>
      <c r="F47" s="19"/>
      <c r="G47" s="20" t="str">
        <f t="shared" si="2"/>
        <v/>
      </c>
      <c r="H47" s="21"/>
      <c r="I47" s="19"/>
      <c r="J47" s="20" t="str">
        <f t="shared" si="3"/>
        <v/>
      </c>
      <c r="K47" s="18" t="str">
        <f t="shared" si="4"/>
        <v/>
      </c>
      <c r="L47" s="22" t="str">
        <f t="shared" si="5"/>
        <v/>
      </c>
      <c r="M47" s="17" t="str">
        <f t="shared" si="6"/>
        <v/>
      </c>
      <c r="N47" s="14" t="str">
        <f t="shared" si="7"/>
        <v/>
      </c>
      <c r="O47" s="15"/>
      <c r="P47" s="2"/>
      <c r="Q47" s="11" t="str">
        <f t="shared" si="8"/>
        <v/>
      </c>
      <c r="R47" s="11" t="str">
        <f t="shared" si="9"/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0"/>
        <v/>
      </c>
      <c r="E48" s="18" t="str">
        <f t="shared" si="1"/>
        <v/>
      </c>
      <c r="F48" s="19"/>
      <c r="G48" s="20" t="str">
        <f t="shared" si="2"/>
        <v/>
      </c>
      <c r="H48" s="21"/>
      <c r="I48" s="19"/>
      <c r="J48" s="20" t="str">
        <f t="shared" si="3"/>
        <v/>
      </c>
      <c r="K48" s="18" t="str">
        <f t="shared" si="4"/>
        <v/>
      </c>
      <c r="L48" s="22" t="str">
        <f t="shared" si="5"/>
        <v/>
      </c>
      <c r="M48" s="17" t="str">
        <f t="shared" si="6"/>
        <v/>
      </c>
      <c r="N48" s="14" t="str">
        <f t="shared" si="7"/>
        <v/>
      </c>
      <c r="O48" s="15"/>
      <c r="P48" s="2"/>
      <c r="Q48" s="11" t="str">
        <f t="shared" si="8"/>
        <v/>
      </c>
      <c r="R48" s="11" t="str">
        <f t="shared" si="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0"/>
        <v/>
      </c>
      <c r="E49" s="18" t="str">
        <f t="shared" si="1"/>
        <v/>
      </c>
      <c r="F49" s="19"/>
      <c r="G49" s="20" t="str">
        <f t="shared" si="2"/>
        <v/>
      </c>
      <c r="H49" s="21"/>
      <c r="I49" s="19"/>
      <c r="J49" s="20" t="str">
        <f t="shared" si="3"/>
        <v/>
      </c>
      <c r="K49" s="18" t="str">
        <f t="shared" si="4"/>
        <v/>
      </c>
      <c r="L49" s="22" t="str">
        <f t="shared" si="5"/>
        <v/>
      </c>
      <c r="M49" s="17" t="str">
        <f t="shared" si="6"/>
        <v/>
      </c>
      <c r="N49" s="14" t="str">
        <f t="shared" si="7"/>
        <v/>
      </c>
      <c r="O49" s="15"/>
      <c r="P49" s="2"/>
      <c r="Q49" s="11" t="str">
        <f t="shared" si="8"/>
        <v/>
      </c>
      <c r="R49" s="11" t="str">
        <f t="shared" si="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0"/>
        <v/>
      </c>
      <c r="E50" s="18" t="str">
        <f t="shared" si="1"/>
        <v/>
      </c>
      <c r="F50" s="19"/>
      <c r="G50" s="20" t="str">
        <f t="shared" si="2"/>
        <v/>
      </c>
      <c r="H50" s="21"/>
      <c r="I50" s="19"/>
      <c r="J50" s="20" t="str">
        <f t="shared" si="3"/>
        <v/>
      </c>
      <c r="K50" s="18" t="str">
        <f t="shared" si="4"/>
        <v/>
      </c>
      <c r="L50" s="22" t="str">
        <f t="shared" si="5"/>
        <v/>
      </c>
      <c r="M50" s="17" t="str">
        <f t="shared" si="6"/>
        <v/>
      </c>
      <c r="N50" s="14" t="str">
        <f t="shared" si="7"/>
        <v/>
      </c>
      <c r="O50" s="15"/>
      <c r="P50" s="2"/>
      <c r="Q50" s="11" t="str">
        <f t="shared" si="8"/>
        <v/>
      </c>
      <c r="R50" s="11" t="str">
        <f t="shared" si="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0"/>
        <v/>
      </c>
      <c r="E51" s="18" t="str">
        <f t="shared" si="1"/>
        <v/>
      </c>
      <c r="F51" s="19"/>
      <c r="G51" s="20" t="str">
        <f t="shared" si="2"/>
        <v/>
      </c>
      <c r="H51" s="21"/>
      <c r="I51" s="19"/>
      <c r="J51" s="20" t="str">
        <f t="shared" si="3"/>
        <v/>
      </c>
      <c r="K51" s="18" t="str">
        <f t="shared" si="4"/>
        <v/>
      </c>
      <c r="L51" s="22" t="str">
        <f t="shared" si="5"/>
        <v/>
      </c>
      <c r="M51" s="17" t="str">
        <f t="shared" si="6"/>
        <v/>
      </c>
      <c r="N51" s="14" t="str">
        <f t="shared" si="7"/>
        <v/>
      </c>
      <c r="O51" s="15"/>
      <c r="P51" s="2"/>
      <c r="Q51" s="11" t="str">
        <f t="shared" si="8"/>
        <v/>
      </c>
      <c r="R51" s="11" t="str">
        <f t="shared" si="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0"/>
        <v/>
      </c>
      <c r="E52" s="18" t="str">
        <f t="shared" si="1"/>
        <v/>
      </c>
      <c r="F52" s="19"/>
      <c r="G52" s="20" t="str">
        <f t="shared" si="2"/>
        <v/>
      </c>
      <c r="H52" s="21"/>
      <c r="I52" s="19"/>
      <c r="J52" s="20" t="str">
        <f t="shared" si="3"/>
        <v/>
      </c>
      <c r="K52" s="18" t="str">
        <f t="shared" si="4"/>
        <v/>
      </c>
      <c r="L52" s="22" t="str">
        <f t="shared" si="5"/>
        <v/>
      </c>
      <c r="M52" s="17" t="str">
        <f t="shared" si="6"/>
        <v/>
      </c>
      <c r="N52" s="14" t="str">
        <f t="shared" si="7"/>
        <v/>
      </c>
      <c r="O52" s="15"/>
      <c r="P52" s="2"/>
      <c r="Q52" s="11" t="str">
        <f t="shared" si="8"/>
        <v/>
      </c>
      <c r="R52" s="11" t="str">
        <f t="shared" si="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0"/>
        <v/>
      </c>
      <c r="E53" s="18" t="str">
        <f t="shared" si="1"/>
        <v/>
      </c>
      <c r="F53" s="19"/>
      <c r="G53" s="20" t="str">
        <f t="shared" si="2"/>
        <v/>
      </c>
      <c r="H53" s="21"/>
      <c r="I53" s="19"/>
      <c r="J53" s="20" t="str">
        <f t="shared" si="3"/>
        <v/>
      </c>
      <c r="K53" s="18" t="str">
        <f t="shared" si="4"/>
        <v/>
      </c>
      <c r="L53" s="22" t="str">
        <f t="shared" si="5"/>
        <v/>
      </c>
      <c r="M53" s="17" t="str">
        <f t="shared" si="6"/>
        <v/>
      </c>
      <c r="N53" s="14" t="str">
        <f t="shared" si="7"/>
        <v/>
      </c>
      <c r="O53" s="15"/>
      <c r="P53" s="2"/>
      <c r="Q53" s="11" t="str">
        <f t="shared" si="8"/>
        <v/>
      </c>
      <c r="R53" s="11" t="str">
        <f t="shared" si="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0"/>
        <v/>
      </c>
      <c r="E54" s="18" t="str">
        <f t="shared" si="1"/>
        <v/>
      </c>
      <c r="F54" s="19"/>
      <c r="G54" s="20" t="str">
        <f t="shared" si="2"/>
        <v/>
      </c>
      <c r="H54" s="21"/>
      <c r="I54" s="19"/>
      <c r="J54" s="20" t="str">
        <f t="shared" si="3"/>
        <v/>
      </c>
      <c r="K54" s="18" t="str">
        <f t="shared" si="4"/>
        <v/>
      </c>
      <c r="L54" s="22" t="str">
        <f t="shared" si="5"/>
        <v/>
      </c>
      <c r="M54" s="17" t="str">
        <f t="shared" si="6"/>
        <v/>
      </c>
      <c r="N54" s="14" t="str">
        <f t="shared" si="7"/>
        <v/>
      </c>
      <c r="O54" s="15"/>
      <c r="P54" s="2"/>
      <c r="Q54" s="11" t="str">
        <f t="shared" si="8"/>
        <v/>
      </c>
      <c r="R54" s="11" t="str">
        <f t="shared" si="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0"/>
        <v/>
      </c>
      <c r="E55" s="18" t="str">
        <f t="shared" si="1"/>
        <v/>
      </c>
      <c r="F55" s="19"/>
      <c r="G55" s="20" t="str">
        <f t="shared" si="2"/>
        <v/>
      </c>
      <c r="H55" s="21"/>
      <c r="I55" s="19"/>
      <c r="J55" s="20" t="str">
        <f t="shared" si="3"/>
        <v/>
      </c>
      <c r="K55" s="18" t="str">
        <f t="shared" si="4"/>
        <v/>
      </c>
      <c r="L55" s="22" t="str">
        <f t="shared" si="5"/>
        <v/>
      </c>
      <c r="M55" s="17" t="str">
        <f t="shared" si="6"/>
        <v/>
      </c>
      <c r="N55" s="14" t="str">
        <f t="shared" si="7"/>
        <v/>
      </c>
      <c r="O55" s="15"/>
      <c r="P55" s="2"/>
      <c r="Q55" s="11" t="str">
        <f t="shared" si="8"/>
        <v/>
      </c>
      <c r="R55" s="11" t="str">
        <f t="shared" si="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0"/>
        <v/>
      </c>
      <c r="E56" s="18" t="str">
        <f t="shared" si="1"/>
        <v/>
      </c>
      <c r="F56" s="19"/>
      <c r="G56" s="20" t="str">
        <f t="shared" si="2"/>
        <v/>
      </c>
      <c r="H56" s="21"/>
      <c r="I56" s="19"/>
      <c r="J56" s="20" t="str">
        <f t="shared" si="3"/>
        <v/>
      </c>
      <c r="K56" s="18" t="str">
        <f t="shared" si="4"/>
        <v/>
      </c>
      <c r="L56" s="22" t="str">
        <f t="shared" si="5"/>
        <v/>
      </c>
      <c r="M56" s="17" t="str">
        <f t="shared" si="6"/>
        <v/>
      </c>
      <c r="N56" s="14" t="str">
        <f t="shared" si="7"/>
        <v/>
      </c>
      <c r="O56" s="15"/>
      <c r="P56" s="2"/>
      <c r="Q56" s="11" t="str">
        <f t="shared" si="8"/>
        <v/>
      </c>
      <c r="R56" s="11" t="str">
        <f t="shared" si="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0"/>
        <v/>
      </c>
      <c r="E57" s="18" t="str">
        <f t="shared" si="1"/>
        <v/>
      </c>
      <c r="F57" s="19"/>
      <c r="G57" s="20" t="str">
        <f t="shared" si="2"/>
        <v/>
      </c>
      <c r="H57" s="21"/>
      <c r="I57" s="19"/>
      <c r="J57" s="20" t="str">
        <f t="shared" si="3"/>
        <v/>
      </c>
      <c r="K57" s="18" t="str">
        <f t="shared" si="4"/>
        <v/>
      </c>
      <c r="L57" s="22" t="str">
        <f t="shared" si="5"/>
        <v/>
      </c>
      <c r="M57" s="17" t="str">
        <f t="shared" si="6"/>
        <v/>
      </c>
      <c r="N57" s="14" t="str">
        <f t="shared" si="7"/>
        <v/>
      </c>
      <c r="O57" s="15"/>
      <c r="P57" s="2"/>
      <c r="Q57" s="11" t="str">
        <f t="shared" si="8"/>
        <v/>
      </c>
      <c r="R57" s="11" t="str">
        <f t="shared" si="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0"/>
        <v/>
      </c>
      <c r="E58" s="18" t="str">
        <f t="shared" si="1"/>
        <v/>
      </c>
      <c r="F58" s="19"/>
      <c r="G58" s="20" t="str">
        <f t="shared" si="2"/>
        <v/>
      </c>
      <c r="H58" s="21"/>
      <c r="I58" s="19"/>
      <c r="J58" s="20" t="str">
        <f t="shared" si="3"/>
        <v/>
      </c>
      <c r="K58" s="18" t="str">
        <f t="shared" si="4"/>
        <v/>
      </c>
      <c r="L58" s="22" t="str">
        <f t="shared" si="5"/>
        <v/>
      </c>
      <c r="M58" s="17" t="str">
        <f t="shared" si="6"/>
        <v/>
      </c>
      <c r="N58" s="14" t="str">
        <f t="shared" si="7"/>
        <v/>
      </c>
      <c r="O58" s="15"/>
      <c r="P58" s="2"/>
      <c r="Q58" s="11" t="str">
        <f t="shared" si="8"/>
        <v/>
      </c>
      <c r="R58" s="11" t="str">
        <f t="shared" si="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0"/>
        <v/>
      </c>
      <c r="E59" s="18" t="str">
        <f t="shared" si="1"/>
        <v/>
      </c>
      <c r="F59" s="19"/>
      <c r="G59" s="20" t="str">
        <f t="shared" si="2"/>
        <v/>
      </c>
      <c r="H59" s="21"/>
      <c r="I59" s="19"/>
      <c r="J59" s="20" t="str">
        <f t="shared" si="3"/>
        <v/>
      </c>
      <c r="K59" s="18" t="str">
        <f t="shared" si="4"/>
        <v/>
      </c>
      <c r="L59" s="22" t="str">
        <f t="shared" si="5"/>
        <v/>
      </c>
      <c r="M59" s="17" t="str">
        <f t="shared" si="6"/>
        <v/>
      </c>
      <c r="N59" s="14" t="str">
        <f t="shared" si="7"/>
        <v/>
      </c>
      <c r="O59" s="15"/>
      <c r="P59" s="2"/>
      <c r="Q59" s="11" t="str">
        <f t="shared" si="8"/>
        <v/>
      </c>
      <c r="R59" s="11" t="str">
        <f t="shared" si="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0"/>
        <v/>
      </c>
      <c r="E60" s="18" t="str">
        <f t="shared" si="1"/>
        <v/>
      </c>
      <c r="F60" s="19"/>
      <c r="G60" s="20" t="str">
        <f t="shared" si="2"/>
        <v/>
      </c>
      <c r="H60" s="21"/>
      <c r="I60" s="19"/>
      <c r="J60" s="20" t="str">
        <f t="shared" si="3"/>
        <v/>
      </c>
      <c r="K60" s="18" t="str">
        <f t="shared" si="4"/>
        <v/>
      </c>
      <c r="L60" s="22" t="str">
        <f t="shared" si="5"/>
        <v/>
      </c>
      <c r="M60" s="17" t="str">
        <f t="shared" si="6"/>
        <v/>
      </c>
      <c r="N60" s="14" t="str">
        <f t="shared" si="7"/>
        <v/>
      </c>
      <c r="O60" s="15"/>
      <c r="P60" s="2"/>
      <c r="Q60" s="11" t="str">
        <f t="shared" si="8"/>
        <v/>
      </c>
      <c r="R60" s="11" t="str">
        <f t="shared" si="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0"/>
        <v/>
      </c>
      <c r="E61" s="18" t="str">
        <f t="shared" si="1"/>
        <v/>
      </c>
      <c r="F61" s="19"/>
      <c r="G61" s="20" t="str">
        <f t="shared" si="2"/>
        <v/>
      </c>
      <c r="H61" s="21"/>
      <c r="I61" s="19"/>
      <c r="J61" s="20" t="str">
        <f t="shared" si="3"/>
        <v/>
      </c>
      <c r="K61" s="18" t="str">
        <f t="shared" si="4"/>
        <v/>
      </c>
      <c r="L61" s="22" t="str">
        <f t="shared" si="5"/>
        <v/>
      </c>
      <c r="M61" s="17" t="str">
        <f t="shared" si="6"/>
        <v/>
      </c>
      <c r="N61" s="14" t="str">
        <f t="shared" si="7"/>
        <v/>
      </c>
      <c r="O61" s="15"/>
      <c r="P61" s="2"/>
      <c r="Q61" s="11" t="str">
        <f t="shared" si="8"/>
        <v/>
      </c>
      <c r="R61" s="11" t="str">
        <f t="shared" si="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0"/>
        <v/>
      </c>
      <c r="E62" s="18" t="str">
        <f t="shared" si="1"/>
        <v/>
      </c>
      <c r="F62" s="19"/>
      <c r="G62" s="20" t="str">
        <f t="shared" si="2"/>
        <v/>
      </c>
      <c r="H62" s="21"/>
      <c r="I62" s="19"/>
      <c r="J62" s="20" t="str">
        <f t="shared" si="3"/>
        <v/>
      </c>
      <c r="K62" s="18" t="str">
        <f t="shared" si="4"/>
        <v/>
      </c>
      <c r="L62" s="22" t="str">
        <f t="shared" si="5"/>
        <v/>
      </c>
      <c r="M62" s="17" t="str">
        <f t="shared" si="6"/>
        <v/>
      </c>
      <c r="N62" s="14" t="str">
        <f t="shared" si="7"/>
        <v/>
      </c>
      <c r="O62" s="15"/>
      <c r="P62" s="2"/>
      <c r="Q62" s="11" t="str">
        <f t="shared" si="8"/>
        <v/>
      </c>
      <c r="R62" s="11" t="str">
        <f t="shared" si="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0"/>
        <v/>
      </c>
      <c r="E63" s="18" t="str">
        <f t="shared" si="1"/>
        <v/>
      </c>
      <c r="F63" s="19"/>
      <c r="G63" s="20" t="str">
        <f t="shared" si="2"/>
        <v/>
      </c>
      <c r="H63" s="21"/>
      <c r="I63" s="19"/>
      <c r="J63" s="20" t="str">
        <f t="shared" si="3"/>
        <v/>
      </c>
      <c r="K63" s="18" t="str">
        <f t="shared" si="4"/>
        <v/>
      </c>
      <c r="L63" s="22" t="str">
        <f t="shared" si="5"/>
        <v/>
      </c>
      <c r="M63" s="17" t="str">
        <f t="shared" si="6"/>
        <v/>
      </c>
      <c r="N63" s="14" t="str">
        <f t="shared" si="7"/>
        <v/>
      </c>
      <c r="O63" s="15"/>
      <c r="P63" s="2"/>
      <c r="Q63" s="11" t="str">
        <f t="shared" si="8"/>
        <v/>
      </c>
      <c r="R63" s="11" t="str">
        <f t="shared" si="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0"/>
        <v/>
      </c>
      <c r="E64" s="18" t="str">
        <f t="shared" si="1"/>
        <v/>
      </c>
      <c r="F64" s="19"/>
      <c r="G64" s="20" t="str">
        <f t="shared" si="2"/>
        <v/>
      </c>
      <c r="H64" s="21"/>
      <c r="I64" s="19"/>
      <c r="J64" s="20" t="str">
        <f t="shared" si="3"/>
        <v/>
      </c>
      <c r="K64" s="18" t="str">
        <f t="shared" si="4"/>
        <v/>
      </c>
      <c r="L64" s="22" t="str">
        <f t="shared" si="5"/>
        <v/>
      </c>
      <c r="M64" s="17" t="str">
        <f t="shared" si="6"/>
        <v/>
      </c>
      <c r="N64" s="14" t="str">
        <f t="shared" si="7"/>
        <v/>
      </c>
      <c r="O64" s="15"/>
      <c r="P64" s="2"/>
      <c r="Q64" s="11" t="str">
        <f t="shared" si="8"/>
        <v/>
      </c>
      <c r="R64" s="11" t="str">
        <f t="shared" si="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19" priority="1">
      <formula>N15="ACCEPT"</formula>
    </cfRule>
    <cfRule type="expression" dxfId="18" priority="2">
      <formula>N15="UNDER"</formula>
    </cfRule>
    <cfRule type="expression" dxfId="17" priority="3">
      <formula>N15="OVER"</formula>
    </cfRule>
    <cfRule type="expression" dxfId="16" priority="4">
      <formula>N15="WRONG SIGN"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opLeftCell="E10" workbookViewId="0">
      <selection activeCell="N23" sqref="N23"/>
    </sheetView>
  </sheetViews>
  <sheetFormatPr defaultRowHeight="13.8"/>
  <cols>
    <col min="1" max="1" width="9" customWidth="1"/>
    <col min="2" max="2" width="20" customWidth="1"/>
    <col min="3" max="3" width="11" customWidth="1"/>
    <col min="4" max="4" width="16" customWidth="1"/>
    <col min="5" max="5" width="18" customWidth="1"/>
    <col min="6" max="7" width="16" customWidth="1"/>
    <col min="8" max="8" width="12" customWidth="1"/>
    <col min="9" max="10" width="14" customWidth="1"/>
    <col min="11" max="11" width="19" customWidth="1"/>
    <col min="12" max="12" width="16" customWidth="1"/>
    <col min="13" max="13" width="18" customWidth="1"/>
    <col min="14" max="14" width="13" customWidth="1"/>
    <col min="15" max="15" width="30" customWidth="1"/>
    <col min="17" max="18" width="18" customWidth="1"/>
  </cols>
  <sheetData>
    <row r="1" spans="1:24" ht="11.2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1">
      <c r="A3" s="3" t="s">
        <v>1</v>
      </c>
      <c r="B3" s="3" t="s">
        <v>2</v>
      </c>
      <c r="C3" s="2"/>
      <c r="D3" s="26" t="s">
        <v>3</v>
      </c>
      <c r="E3" s="26"/>
      <c r="F3" s="26"/>
      <c r="G3" s="26"/>
      <c r="H3" s="2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70.5">
      <c r="A4" s="4" t="s">
        <v>4</v>
      </c>
      <c r="B4" s="5">
        <v>-9.5250225099999994</v>
      </c>
      <c r="C4" s="2"/>
      <c r="D4" s="6" t="s">
        <v>5</v>
      </c>
      <c r="E4" s="6" t="s">
        <v>2</v>
      </c>
      <c r="F4" s="2"/>
      <c r="G4" s="6" t="s">
        <v>6</v>
      </c>
      <c r="H4" s="6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6.4">
      <c r="A5" s="4" t="s">
        <v>7</v>
      </c>
      <c r="B5" s="7">
        <v>1000</v>
      </c>
      <c r="C5" s="2"/>
      <c r="D5" s="2" t="s">
        <v>8</v>
      </c>
      <c r="E5" s="8">
        <v>2</v>
      </c>
      <c r="F5" s="2"/>
      <c r="G5" s="2" t="s">
        <v>9</v>
      </c>
      <c r="H5" s="9">
        <f>IF(OR(E7="",E8="",E9="",E10="",E10=E8),"",E7+($B$8-E8)/(E10-E8)*(E9-E7))</f>
        <v>11.958914873383691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42.3">
      <c r="A6" s="4" t="s">
        <v>10</v>
      </c>
      <c r="B6" s="7">
        <v>2000</v>
      </c>
      <c r="C6" s="2"/>
      <c r="D6" s="2" t="s">
        <v>11</v>
      </c>
      <c r="E6" s="8">
        <v>1</v>
      </c>
      <c r="F6" s="2"/>
      <c r="G6" s="2" t="s">
        <v>12</v>
      </c>
      <c r="H6" s="9">
        <f>IF(H5="","",ROUND(H5,1))</f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6.4">
      <c r="A7" s="4" t="s">
        <v>13</v>
      </c>
      <c r="B7" s="7">
        <v>-2500</v>
      </c>
      <c r="C7" s="2"/>
      <c r="D7" s="2" t="s">
        <v>14</v>
      </c>
      <c r="E7" s="2">
        <f>IF(E5="","",IFERROR(INDEX($F$15:$F$64,MATCH(E5,$A$15:$A$64,0)),""))</f>
        <v>10.95</v>
      </c>
      <c r="F7" s="2"/>
      <c r="G7" s="2" t="s">
        <v>15</v>
      </c>
      <c r="H7" s="10">
        <f>$B$8</f>
        <v>-4.0000000000000002E-4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6.4">
      <c r="A8" s="4" t="s">
        <v>16</v>
      </c>
      <c r="B8" s="10">
        <f>IF(B7=0,"",1/B7)</f>
        <v>-4.0000000000000002E-4</v>
      </c>
      <c r="C8" s="2"/>
      <c r="D8" s="2" t="s">
        <v>17</v>
      </c>
      <c r="E8" s="2">
        <f>IF(E5="","",IFERROR(INDEX($K$15:$K$64,MATCH(E5,$A$15:$A$64,0)),""))</f>
        <v>-3.6719914132867713E-4</v>
      </c>
      <c r="F8" s="2"/>
      <c r="G8" s="2" t="s">
        <v>18</v>
      </c>
      <c r="H8" s="11">
        <f>DEGREES($B$8*$B$5)</f>
        <v>-22.918311805232932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42.3">
      <c r="A9" s="4" t="s">
        <v>19</v>
      </c>
      <c r="B9" s="12">
        <v>0.02</v>
      </c>
      <c r="C9" s="2"/>
      <c r="D9" s="2" t="s">
        <v>20</v>
      </c>
      <c r="E9" s="2">
        <f>IF(E6="","",IFERROR(INDEX($F$15:$F$64,MATCH(E6,$A$15:$A$64,0)),""))</f>
        <v>14.5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7.6">
      <c r="A10" s="2"/>
      <c r="B10" s="2"/>
      <c r="C10" s="2"/>
      <c r="D10" s="2" t="s">
        <v>21</v>
      </c>
      <c r="E10" s="2">
        <f>IF(E6="","",IFERROR(INDEX($K$15:$K$64,MATCH(E6,$A$15:$A$64,0)),""))</f>
        <v>-4.8261328711549691E-4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1">
      <c r="A12" s="2"/>
      <c r="B12" s="2"/>
      <c r="C12" s="2"/>
      <c r="D12" s="27" t="s">
        <v>22</v>
      </c>
      <c r="E12" s="27"/>
      <c r="F12" s="27"/>
      <c r="G12" s="27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8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 t="s">
        <v>34</v>
      </c>
      <c r="M14" s="1" t="s">
        <v>35</v>
      </c>
      <c r="N14" s="1" t="s">
        <v>36</v>
      </c>
      <c r="O14" s="1" t="s">
        <v>37</v>
      </c>
      <c r="P14" s="2"/>
      <c r="Q14" s="13" t="s">
        <v>38</v>
      </c>
      <c r="R14" s="13" t="s">
        <v>39</v>
      </c>
      <c r="S14" s="2"/>
      <c r="T14" s="2"/>
      <c r="U14" s="2"/>
      <c r="V14" s="2"/>
      <c r="W14" s="2"/>
      <c r="X14" s="2"/>
    </row>
    <row r="15" spans="1:24">
      <c r="A15" s="14">
        <v>1</v>
      </c>
      <c r="B15" s="15"/>
      <c r="C15" s="16">
        <v>10.65</v>
      </c>
      <c r="D15" s="17">
        <f t="shared" ref="D15:D46" si="0">IF(OR(B15&lt;&gt;"",C15&lt;&gt;"",F15&lt;&gt;"",H15&lt;&gt;"",I15&lt;&gt;""),$B$7,"")</f>
        <v>-2500</v>
      </c>
      <c r="E15" s="18">
        <f t="shared" ref="E15:E46" si="1">IF(D15="","",1/D15)</f>
        <v>-4.0000000000000002E-4</v>
      </c>
      <c r="F15" s="19">
        <v>14.5</v>
      </c>
      <c r="G15" s="20">
        <f t="shared" ref="G15:G46" si="2">IF(F15="","",F15-$B$4)</f>
        <v>24.025022509999999</v>
      </c>
      <c r="H15" s="21">
        <v>1000.3</v>
      </c>
      <c r="I15" s="19">
        <v>-27.66</v>
      </c>
      <c r="J15" s="20">
        <f t="shared" ref="J15:J46" si="3">IF(OR(E15="",H15=""),"",DEGREES(E15*H15))</f>
        <v>-22.925187298774496</v>
      </c>
      <c r="K15" s="18">
        <f t="shared" ref="K15:K46" si="4">IF(OR(H15="",I15="",H15=0),"",RADIANS(I15)/H15)</f>
        <v>-4.8261328711549691E-4</v>
      </c>
      <c r="L15" s="22">
        <f t="shared" ref="L15:L46" si="5">IF(OR(K15="",E15="",E15=0),"",(ABS(K15)-ABS(E15))/ABS(E15))</f>
        <v>0.20653321778874223</v>
      </c>
      <c r="M15" s="17">
        <f t="shared" ref="M15:M46" si="6">IF(OR(K15="",K15=0),"",1/K15)</f>
        <v>-2072.0523588914043</v>
      </c>
      <c r="N15" s="14" t="str">
        <f t="shared" ref="N15:N46" si="7">IF(OR(K15="",E15=""),"",IF(SIGN(K15)&lt;&gt;SIGN(E15),"WRONG SIGN",IF(ABS(L15)&lt;=$B$9,"ACCEPT",IF(ABS(K15)&lt;ABS(E15),"UNDER","OVER"))))</f>
        <v>OVER</v>
      </c>
      <c r="O15" s="15"/>
      <c r="P15" s="2"/>
      <c r="Q15" s="11">
        <f t="shared" ref="Q15:Q46" si="8">IF(F15="","",F15)</f>
        <v>14.5</v>
      </c>
      <c r="R15" s="11">
        <f t="shared" ref="R15:R46" si="9">IF(K15="","",ABS(K15)*1000)</f>
        <v>0.48261328711549689</v>
      </c>
      <c r="S15" s="2"/>
      <c r="T15" s="2"/>
      <c r="U15" s="2"/>
      <c r="V15" s="2"/>
      <c r="W15" s="2"/>
      <c r="X15" s="2"/>
    </row>
    <row r="16" spans="1:24">
      <c r="A16" s="14">
        <v>2</v>
      </c>
      <c r="B16" s="15"/>
      <c r="C16" s="16">
        <v>10.65</v>
      </c>
      <c r="D16" s="17">
        <f t="shared" si="0"/>
        <v>-2500</v>
      </c>
      <c r="E16" s="18">
        <f t="shared" si="1"/>
        <v>-4.0000000000000002E-4</v>
      </c>
      <c r="F16" s="19">
        <v>10.95</v>
      </c>
      <c r="G16" s="20">
        <f t="shared" si="2"/>
        <v>20.475022509999999</v>
      </c>
      <c r="H16" s="21">
        <v>1001</v>
      </c>
      <c r="I16" s="19">
        <v>-21.06</v>
      </c>
      <c r="J16" s="20">
        <f t="shared" si="3"/>
        <v>-22.941230117038163</v>
      </c>
      <c r="K16" s="18">
        <f t="shared" si="4"/>
        <v>-3.6719914132867713E-4</v>
      </c>
      <c r="L16" s="22">
        <f t="shared" si="5"/>
        <v>-8.2002146678307214E-2</v>
      </c>
      <c r="M16" s="17">
        <f t="shared" si="6"/>
        <v>-2723.3179151279869</v>
      </c>
      <c r="N16" s="14" t="str">
        <f t="shared" si="7"/>
        <v>UNDER</v>
      </c>
      <c r="O16" s="15"/>
      <c r="P16" s="2"/>
      <c r="Q16" s="11">
        <f t="shared" si="8"/>
        <v>10.95</v>
      </c>
      <c r="R16" s="11">
        <f t="shared" si="9"/>
        <v>0.36719914132867715</v>
      </c>
      <c r="S16" s="2"/>
      <c r="T16" s="2"/>
      <c r="U16" s="2"/>
      <c r="V16" s="2"/>
      <c r="W16" s="2"/>
      <c r="X16" s="2"/>
    </row>
    <row r="17" spans="1:24" ht="14.1">
      <c r="A17" s="14">
        <v>3</v>
      </c>
      <c r="B17" s="15" t="s">
        <v>59</v>
      </c>
      <c r="C17" s="16">
        <v>10.65</v>
      </c>
      <c r="D17" s="17">
        <f t="shared" si="0"/>
        <v>-2500</v>
      </c>
      <c r="E17" s="18">
        <f t="shared" si="1"/>
        <v>-4.0000000000000002E-4</v>
      </c>
      <c r="F17" s="19">
        <v>12</v>
      </c>
      <c r="G17" s="20">
        <f t="shared" si="2"/>
        <v>21.525022509999999</v>
      </c>
      <c r="H17" s="21">
        <v>1001.4</v>
      </c>
      <c r="I17" s="19">
        <v>-22.94</v>
      </c>
      <c r="J17" s="20">
        <f t="shared" si="3"/>
        <v>-22.950397441760256</v>
      </c>
      <c r="K17" s="18">
        <f t="shared" si="4"/>
        <v>-3.9981878410974558E-4</v>
      </c>
      <c r="L17" s="22">
        <f t="shared" si="5"/>
        <v>-4.5303972563608759E-4</v>
      </c>
      <c r="M17" s="17">
        <f t="shared" si="6"/>
        <v>-2501.1331126591385</v>
      </c>
      <c r="N17" s="14" t="str">
        <f t="shared" si="7"/>
        <v>ACCEPT</v>
      </c>
      <c r="O17" s="15"/>
      <c r="P17" s="2"/>
      <c r="Q17" s="11">
        <f t="shared" si="8"/>
        <v>12</v>
      </c>
      <c r="R17" s="11">
        <f t="shared" si="9"/>
        <v>0.39981878410974558</v>
      </c>
      <c r="S17" s="2"/>
      <c r="T17" s="2"/>
      <c r="U17" s="2"/>
      <c r="V17" s="2"/>
      <c r="W17" s="2"/>
      <c r="X17" s="2"/>
    </row>
    <row r="18" spans="1:24">
      <c r="A18" s="14">
        <v>4</v>
      </c>
      <c r="B18" s="15"/>
      <c r="C18" s="16">
        <v>10.64</v>
      </c>
      <c r="D18" s="17">
        <f t="shared" si="0"/>
        <v>-2500</v>
      </c>
      <c r="E18" s="18">
        <f t="shared" si="1"/>
        <v>-4.0000000000000002E-4</v>
      </c>
      <c r="F18" s="19">
        <v>12</v>
      </c>
      <c r="G18" s="20">
        <f t="shared" si="2"/>
        <v>21.525022509999999</v>
      </c>
      <c r="H18" s="21">
        <v>1001.4</v>
      </c>
      <c r="I18" s="19">
        <v>-21.93</v>
      </c>
      <c r="J18" s="20">
        <f t="shared" si="3"/>
        <v>-22.950397441760256</v>
      </c>
      <c r="K18" s="18">
        <f t="shared" si="4"/>
        <v>-3.822156031179913E-4</v>
      </c>
      <c r="L18" s="22">
        <f t="shared" si="5"/>
        <v>-4.4460992205021803E-2</v>
      </c>
      <c r="M18" s="17">
        <f t="shared" si="6"/>
        <v>-2616.3243777656467</v>
      </c>
      <c r="N18" s="14" t="str">
        <f t="shared" si="7"/>
        <v>UNDER</v>
      </c>
      <c r="O18" s="15"/>
      <c r="P18" s="2"/>
      <c r="Q18" s="11">
        <f t="shared" si="8"/>
        <v>12</v>
      </c>
      <c r="R18" s="11">
        <f t="shared" si="9"/>
        <v>0.3822156031179913</v>
      </c>
      <c r="S18" s="2"/>
      <c r="T18" s="2"/>
      <c r="U18" s="2"/>
      <c r="V18" s="2"/>
      <c r="W18" s="2"/>
      <c r="X18" s="2"/>
    </row>
    <row r="19" spans="1:24" ht="14.1">
      <c r="A19" s="14">
        <v>5</v>
      </c>
      <c r="B19" s="15"/>
      <c r="C19" s="16">
        <v>10.64</v>
      </c>
      <c r="D19" s="17">
        <f t="shared" si="0"/>
        <v>-2500</v>
      </c>
      <c r="E19" s="18">
        <f t="shared" si="1"/>
        <v>-4.0000000000000002E-4</v>
      </c>
      <c r="F19" s="19">
        <v>12</v>
      </c>
      <c r="G19" s="20">
        <f t="shared" si="2"/>
        <v>21.525022509999999</v>
      </c>
      <c r="H19" s="21">
        <v>1001</v>
      </c>
      <c r="I19" s="19">
        <v>-22.89</v>
      </c>
      <c r="J19" s="20">
        <f t="shared" si="3"/>
        <v>-22.941230117038163</v>
      </c>
      <c r="K19" s="18">
        <f t="shared" si="4"/>
        <v>-3.9910675902247956E-4</v>
      </c>
      <c r="L19" s="22">
        <f t="shared" si="5"/>
        <v>-2.2331024438011402E-3</v>
      </c>
      <c r="M19" s="17">
        <f t="shared" si="6"/>
        <v>-2505.5952508779119</v>
      </c>
      <c r="N19" s="14" t="str">
        <f t="shared" si="7"/>
        <v>ACCEPT</v>
      </c>
      <c r="O19" s="15"/>
      <c r="P19" s="2"/>
      <c r="Q19" s="11">
        <f t="shared" si="8"/>
        <v>12</v>
      </c>
      <c r="R19" s="11">
        <f t="shared" si="9"/>
        <v>0.39910675902247955</v>
      </c>
      <c r="S19" s="2"/>
      <c r="T19" s="2"/>
      <c r="U19" s="2"/>
      <c r="V19" s="2"/>
      <c r="W19" s="2"/>
      <c r="X19" s="2"/>
    </row>
    <row r="20" spans="1:24">
      <c r="A20" s="14">
        <v>6</v>
      </c>
      <c r="B20" s="15"/>
      <c r="C20" s="16"/>
      <c r="D20" s="17" t="str">
        <f t="shared" si="0"/>
        <v/>
      </c>
      <c r="E20" s="18" t="str">
        <f t="shared" si="1"/>
        <v/>
      </c>
      <c r="F20" s="19"/>
      <c r="G20" s="20" t="str">
        <f t="shared" si="2"/>
        <v/>
      </c>
      <c r="H20" s="21"/>
      <c r="I20" s="19"/>
      <c r="J20" s="20" t="str">
        <f t="shared" si="3"/>
        <v/>
      </c>
      <c r="K20" s="18" t="str">
        <f t="shared" si="4"/>
        <v/>
      </c>
      <c r="L20" s="22" t="str">
        <f t="shared" si="5"/>
        <v/>
      </c>
      <c r="M20" s="17" t="str">
        <f t="shared" si="6"/>
        <v/>
      </c>
      <c r="N20" s="14" t="str">
        <f t="shared" si="7"/>
        <v/>
      </c>
      <c r="O20" s="15"/>
      <c r="P20" s="2"/>
      <c r="Q20" s="11" t="str">
        <f t="shared" si="8"/>
        <v/>
      </c>
      <c r="R20" s="11" t="str">
        <f t="shared" si="9"/>
        <v/>
      </c>
      <c r="S20" s="2"/>
      <c r="T20" s="2"/>
      <c r="U20" s="2"/>
      <c r="V20" s="2"/>
      <c r="W20" s="2"/>
      <c r="X20" s="2"/>
    </row>
    <row r="21" spans="1:24">
      <c r="A21" s="14">
        <v>7</v>
      </c>
      <c r="B21" s="15"/>
      <c r="C21" s="16"/>
      <c r="D21" s="17" t="str">
        <f t="shared" si="0"/>
        <v/>
      </c>
      <c r="E21" s="18" t="str">
        <f t="shared" si="1"/>
        <v/>
      </c>
      <c r="F21" s="19"/>
      <c r="G21" s="20" t="str">
        <f t="shared" si="2"/>
        <v/>
      </c>
      <c r="H21" s="21"/>
      <c r="I21" s="19"/>
      <c r="J21" s="20" t="str">
        <f t="shared" si="3"/>
        <v/>
      </c>
      <c r="K21" s="18" t="str">
        <f t="shared" si="4"/>
        <v/>
      </c>
      <c r="L21" s="22" t="str">
        <f t="shared" si="5"/>
        <v/>
      </c>
      <c r="M21" s="17" t="str">
        <f t="shared" si="6"/>
        <v/>
      </c>
      <c r="N21" s="14" t="str">
        <f t="shared" si="7"/>
        <v/>
      </c>
      <c r="O21" s="15"/>
      <c r="P21" s="2"/>
      <c r="Q21" s="11" t="str">
        <f t="shared" si="8"/>
        <v/>
      </c>
      <c r="R21" s="11" t="str">
        <f t="shared" si="9"/>
        <v/>
      </c>
      <c r="S21" s="2"/>
      <c r="T21" s="2"/>
      <c r="U21" s="2"/>
      <c r="V21" s="2"/>
      <c r="W21" s="2"/>
      <c r="X21" s="2"/>
    </row>
    <row r="22" spans="1:24">
      <c r="A22" s="14">
        <v>8</v>
      </c>
      <c r="B22" s="15"/>
      <c r="C22" s="16"/>
      <c r="D22" s="17" t="str">
        <f t="shared" si="0"/>
        <v/>
      </c>
      <c r="E22" s="18" t="str">
        <f t="shared" si="1"/>
        <v/>
      </c>
      <c r="F22" s="19"/>
      <c r="G22" s="20" t="str">
        <f t="shared" si="2"/>
        <v/>
      </c>
      <c r="H22" s="21"/>
      <c r="I22" s="19"/>
      <c r="J22" s="20" t="str">
        <f t="shared" si="3"/>
        <v/>
      </c>
      <c r="K22" s="18" t="str">
        <f t="shared" si="4"/>
        <v/>
      </c>
      <c r="L22" s="22" t="str">
        <f t="shared" si="5"/>
        <v/>
      </c>
      <c r="M22" s="17" t="str">
        <f t="shared" si="6"/>
        <v/>
      </c>
      <c r="N22" s="14" t="str">
        <f t="shared" si="7"/>
        <v/>
      </c>
      <c r="O22" s="15"/>
      <c r="P22" s="2"/>
      <c r="Q22" s="11" t="str">
        <f t="shared" si="8"/>
        <v/>
      </c>
      <c r="R22" s="11" t="str">
        <f t="shared" si="9"/>
        <v/>
      </c>
      <c r="S22" s="2"/>
      <c r="T22" s="2"/>
      <c r="U22" s="2"/>
      <c r="V22" s="2"/>
      <c r="W22" s="2"/>
      <c r="X22" s="2"/>
    </row>
    <row r="23" spans="1:24">
      <c r="A23" s="14">
        <v>9</v>
      </c>
      <c r="B23" s="15"/>
      <c r="C23" s="16"/>
      <c r="D23" s="17" t="str">
        <f t="shared" si="0"/>
        <v/>
      </c>
      <c r="E23" s="18" t="str">
        <f t="shared" si="1"/>
        <v/>
      </c>
      <c r="F23" s="19"/>
      <c r="G23" s="20" t="str">
        <f t="shared" si="2"/>
        <v/>
      </c>
      <c r="H23" s="21"/>
      <c r="I23" s="19"/>
      <c r="J23" s="20" t="str">
        <f t="shared" si="3"/>
        <v/>
      </c>
      <c r="K23" s="18" t="str">
        <f t="shared" si="4"/>
        <v/>
      </c>
      <c r="L23" s="22" t="str">
        <f t="shared" si="5"/>
        <v/>
      </c>
      <c r="M23" s="17" t="str">
        <f t="shared" si="6"/>
        <v/>
      </c>
      <c r="N23" s="14" t="str">
        <f t="shared" si="7"/>
        <v/>
      </c>
      <c r="O23" s="15"/>
      <c r="P23" s="2"/>
      <c r="Q23" s="11" t="str">
        <f t="shared" si="8"/>
        <v/>
      </c>
      <c r="R23" s="11" t="str">
        <f t="shared" si="9"/>
        <v/>
      </c>
      <c r="S23" s="2"/>
      <c r="T23" s="2"/>
      <c r="U23" s="2"/>
      <c r="V23" s="2"/>
      <c r="W23" s="2"/>
      <c r="X23" s="2"/>
    </row>
    <row r="24" spans="1:24">
      <c r="A24" s="14">
        <v>10</v>
      </c>
      <c r="B24" s="15"/>
      <c r="C24" s="16"/>
      <c r="D24" s="17" t="str">
        <f t="shared" si="0"/>
        <v/>
      </c>
      <c r="E24" s="18" t="str">
        <f t="shared" si="1"/>
        <v/>
      </c>
      <c r="F24" s="19"/>
      <c r="G24" s="20" t="str">
        <f t="shared" si="2"/>
        <v/>
      </c>
      <c r="H24" s="21"/>
      <c r="I24" s="19"/>
      <c r="J24" s="20" t="str">
        <f t="shared" si="3"/>
        <v/>
      </c>
      <c r="K24" s="18" t="str">
        <f t="shared" si="4"/>
        <v/>
      </c>
      <c r="L24" s="22" t="str">
        <f t="shared" si="5"/>
        <v/>
      </c>
      <c r="M24" s="17" t="str">
        <f t="shared" si="6"/>
        <v/>
      </c>
      <c r="N24" s="14" t="str">
        <f t="shared" si="7"/>
        <v/>
      </c>
      <c r="O24" s="15"/>
      <c r="P24" s="2"/>
      <c r="Q24" s="11" t="str">
        <f t="shared" si="8"/>
        <v/>
      </c>
      <c r="R24" s="11" t="str">
        <f t="shared" si="9"/>
        <v/>
      </c>
      <c r="S24" s="2"/>
      <c r="T24" s="2"/>
      <c r="U24" s="2"/>
      <c r="V24" s="2"/>
      <c r="W24" s="2"/>
      <c r="X24" s="2"/>
    </row>
    <row r="25" spans="1:24">
      <c r="A25" s="14">
        <v>11</v>
      </c>
      <c r="B25" s="15"/>
      <c r="C25" s="16"/>
      <c r="D25" s="17" t="str">
        <f t="shared" si="0"/>
        <v/>
      </c>
      <c r="E25" s="18" t="str">
        <f t="shared" si="1"/>
        <v/>
      </c>
      <c r="F25" s="19"/>
      <c r="G25" s="20" t="str">
        <f t="shared" si="2"/>
        <v/>
      </c>
      <c r="H25" s="21"/>
      <c r="I25" s="19"/>
      <c r="J25" s="20" t="str">
        <f t="shared" si="3"/>
        <v/>
      </c>
      <c r="K25" s="18" t="str">
        <f t="shared" si="4"/>
        <v/>
      </c>
      <c r="L25" s="22" t="str">
        <f t="shared" si="5"/>
        <v/>
      </c>
      <c r="M25" s="17" t="str">
        <f t="shared" si="6"/>
        <v/>
      </c>
      <c r="N25" s="14" t="str">
        <f t="shared" si="7"/>
        <v/>
      </c>
      <c r="O25" s="15"/>
      <c r="P25" s="2"/>
      <c r="Q25" s="11" t="str">
        <f t="shared" si="8"/>
        <v/>
      </c>
      <c r="R25" s="11" t="str">
        <f t="shared" si="9"/>
        <v/>
      </c>
      <c r="S25" s="2"/>
      <c r="T25" s="2"/>
      <c r="U25" s="2"/>
      <c r="V25" s="2"/>
      <c r="W25" s="2"/>
      <c r="X25" s="2"/>
    </row>
    <row r="26" spans="1:24">
      <c r="A26" s="14">
        <v>12</v>
      </c>
      <c r="B26" s="15"/>
      <c r="C26" s="16"/>
      <c r="D26" s="17" t="str">
        <f t="shared" si="0"/>
        <v/>
      </c>
      <c r="E26" s="18" t="str">
        <f t="shared" si="1"/>
        <v/>
      </c>
      <c r="F26" s="19"/>
      <c r="G26" s="20" t="str">
        <f t="shared" si="2"/>
        <v/>
      </c>
      <c r="H26" s="21"/>
      <c r="I26" s="19"/>
      <c r="J26" s="20" t="str">
        <f t="shared" si="3"/>
        <v/>
      </c>
      <c r="K26" s="18" t="str">
        <f t="shared" si="4"/>
        <v/>
      </c>
      <c r="L26" s="22" t="str">
        <f t="shared" si="5"/>
        <v/>
      </c>
      <c r="M26" s="17" t="str">
        <f t="shared" si="6"/>
        <v/>
      </c>
      <c r="N26" s="14" t="str">
        <f t="shared" si="7"/>
        <v/>
      </c>
      <c r="O26" s="15"/>
      <c r="P26" s="2"/>
      <c r="Q26" s="11" t="str">
        <f t="shared" si="8"/>
        <v/>
      </c>
      <c r="R26" s="11" t="str">
        <f t="shared" si="9"/>
        <v/>
      </c>
      <c r="S26" s="2"/>
      <c r="T26" s="2"/>
      <c r="U26" s="2"/>
      <c r="V26" s="2"/>
      <c r="W26" s="2"/>
      <c r="X26" s="2"/>
    </row>
    <row r="27" spans="1:24">
      <c r="A27" s="14">
        <v>13</v>
      </c>
      <c r="B27" s="15"/>
      <c r="C27" s="16"/>
      <c r="D27" s="17" t="str">
        <f t="shared" si="0"/>
        <v/>
      </c>
      <c r="E27" s="18" t="str">
        <f t="shared" si="1"/>
        <v/>
      </c>
      <c r="F27" s="19"/>
      <c r="G27" s="20" t="str">
        <f t="shared" si="2"/>
        <v/>
      </c>
      <c r="H27" s="21"/>
      <c r="I27" s="19"/>
      <c r="J27" s="20" t="str">
        <f t="shared" si="3"/>
        <v/>
      </c>
      <c r="K27" s="18" t="str">
        <f t="shared" si="4"/>
        <v/>
      </c>
      <c r="L27" s="22" t="str">
        <f t="shared" si="5"/>
        <v/>
      </c>
      <c r="M27" s="17" t="str">
        <f t="shared" si="6"/>
        <v/>
      </c>
      <c r="N27" s="14" t="str">
        <f t="shared" si="7"/>
        <v/>
      </c>
      <c r="O27" s="15"/>
      <c r="P27" s="2"/>
      <c r="Q27" s="11" t="str">
        <f t="shared" si="8"/>
        <v/>
      </c>
      <c r="R27" s="11" t="str">
        <f t="shared" si="9"/>
        <v/>
      </c>
      <c r="S27" s="2"/>
      <c r="T27" s="2"/>
      <c r="U27" s="2"/>
      <c r="V27" s="2"/>
      <c r="W27" s="2"/>
      <c r="X27" s="2"/>
    </row>
    <row r="28" spans="1:24">
      <c r="A28" s="14">
        <v>14</v>
      </c>
      <c r="B28" s="15"/>
      <c r="C28" s="16"/>
      <c r="D28" s="17" t="str">
        <f t="shared" si="0"/>
        <v/>
      </c>
      <c r="E28" s="18" t="str">
        <f t="shared" si="1"/>
        <v/>
      </c>
      <c r="F28" s="19"/>
      <c r="G28" s="20" t="str">
        <f t="shared" si="2"/>
        <v/>
      </c>
      <c r="H28" s="21"/>
      <c r="I28" s="19"/>
      <c r="J28" s="20" t="str">
        <f t="shared" si="3"/>
        <v/>
      </c>
      <c r="K28" s="18" t="str">
        <f t="shared" si="4"/>
        <v/>
      </c>
      <c r="L28" s="22" t="str">
        <f t="shared" si="5"/>
        <v/>
      </c>
      <c r="M28" s="17" t="str">
        <f t="shared" si="6"/>
        <v/>
      </c>
      <c r="N28" s="14" t="str">
        <f t="shared" si="7"/>
        <v/>
      </c>
      <c r="O28" s="15"/>
      <c r="P28" s="2"/>
      <c r="Q28" s="11" t="str">
        <f t="shared" si="8"/>
        <v/>
      </c>
      <c r="R28" s="11" t="str">
        <f t="shared" si="9"/>
        <v/>
      </c>
      <c r="S28" s="2"/>
      <c r="T28" s="2"/>
      <c r="U28" s="2"/>
      <c r="V28" s="2"/>
      <c r="W28" s="2"/>
      <c r="X28" s="2"/>
    </row>
    <row r="29" spans="1:24">
      <c r="A29" s="14">
        <v>15</v>
      </c>
      <c r="B29" s="15"/>
      <c r="C29" s="16"/>
      <c r="D29" s="17" t="str">
        <f t="shared" si="0"/>
        <v/>
      </c>
      <c r="E29" s="18" t="str">
        <f t="shared" si="1"/>
        <v/>
      </c>
      <c r="F29" s="19"/>
      <c r="G29" s="20" t="str">
        <f t="shared" si="2"/>
        <v/>
      </c>
      <c r="H29" s="21"/>
      <c r="I29" s="19"/>
      <c r="J29" s="20" t="str">
        <f t="shared" si="3"/>
        <v/>
      </c>
      <c r="K29" s="18" t="str">
        <f t="shared" si="4"/>
        <v/>
      </c>
      <c r="L29" s="22" t="str">
        <f t="shared" si="5"/>
        <v/>
      </c>
      <c r="M29" s="17" t="str">
        <f t="shared" si="6"/>
        <v/>
      </c>
      <c r="N29" s="14" t="str">
        <f t="shared" si="7"/>
        <v/>
      </c>
      <c r="O29" s="15"/>
      <c r="P29" s="2"/>
      <c r="Q29" s="11" t="str">
        <f t="shared" si="8"/>
        <v/>
      </c>
      <c r="R29" s="11" t="str">
        <f t="shared" si="9"/>
        <v/>
      </c>
      <c r="S29" s="2"/>
      <c r="T29" s="2"/>
      <c r="U29" s="2"/>
      <c r="V29" s="2"/>
      <c r="W29" s="2"/>
      <c r="X29" s="2"/>
    </row>
    <row r="30" spans="1:24">
      <c r="A30" s="14">
        <v>16</v>
      </c>
      <c r="B30" s="15"/>
      <c r="C30" s="16"/>
      <c r="D30" s="17" t="str">
        <f t="shared" si="0"/>
        <v/>
      </c>
      <c r="E30" s="18" t="str">
        <f t="shared" si="1"/>
        <v/>
      </c>
      <c r="F30" s="19"/>
      <c r="G30" s="20" t="str">
        <f t="shared" si="2"/>
        <v/>
      </c>
      <c r="H30" s="21"/>
      <c r="I30" s="19"/>
      <c r="J30" s="20" t="str">
        <f t="shared" si="3"/>
        <v/>
      </c>
      <c r="K30" s="18" t="str">
        <f t="shared" si="4"/>
        <v/>
      </c>
      <c r="L30" s="22" t="str">
        <f t="shared" si="5"/>
        <v/>
      </c>
      <c r="M30" s="17" t="str">
        <f t="shared" si="6"/>
        <v/>
      </c>
      <c r="N30" s="14" t="str">
        <f t="shared" si="7"/>
        <v/>
      </c>
      <c r="O30" s="15"/>
      <c r="P30" s="2"/>
      <c r="Q30" s="11" t="str">
        <f t="shared" si="8"/>
        <v/>
      </c>
      <c r="R30" s="11" t="str">
        <f t="shared" si="9"/>
        <v/>
      </c>
      <c r="S30" s="2"/>
      <c r="T30" s="2"/>
      <c r="U30" s="2"/>
      <c r="V30" s="2"/>
      <c r="W30" s="2"/>
      <c r="X30" s="2"/>
    </row>
    <row r="31" spans="1:24">
      <c r="A31" s="14">
        <v>17</v>
      </c>
      <c r="B31" s="15"/>
      <c r="C31" s="16"/>
      <c r="D31" s="17" t="str">
        <f t="shared" si="0"/>
        <v/>
      </c>
      <c r="E31" s="18" t="str">
        <f t="shared" si="1"/>
        <v/>
      </c>
      <c r="F31" s="19"/>
      <c r="G31" s="20" t="str">
        <f t="shared" si="2"/>
        <v/>
      </c>
      <c r="H31" s="21"/>
      <c r="I31" s="19"/>
      <c r="J31" s="20" t="str">
        <f t="shared" si="3"/>
        <v/>
      </c>
      <c r="K31" s="18" t="str">
        <f t="shared" si="4"/>
        <v/>
      </c>
      <c r="L31" s="22" t="str">
        <f t="shared" si="5"/>
        <v/>
      </c>
      <c r="M31" s="17" t="str">
        <f t="shared" si="6"/>
        <v/>
      </c>
      <c r="N31" s="14" t="str">
        <f t="shared" si="7"/>
        <v/>
      </c>
      <c r="O31" s="15"/>
      <c r="P31" s="2"/>
      <c r="Q31" s="11" t="str">
        <f t="shared" si="8"/>
        <v/>
      </c>
      <c r="R31" s="11" t="str">
        <f t="shared" si="9"/>
        <v/>
      </c>
      <c r="S31" s="2"/>
      <c r="T31" s="2"/>
      <c r="U31" s="2"/>
      <c r="V31" s="2"/>
      <c r="W31" s="2"/>
      <c r="X31" s="2"/>
    </row>
    <row r="32" spans="1:24">
      <c r="A32" s="14">
        <v>18</v>
      </c>
      <c r="B32" s="15"/>
      <c r="C32" s="16"/>
      <c r="D32" s="17" t="str">
        <f t="shared" si="0"/>
        <v/>
      </c>
      <c r="E32" s="18" t="str">
        <f t="shared" si="1"/>
        <v/>
      </c>
      <c r="F32" s="19"/>
      <c r="G32" s="20" t="str">
        <f t="shared" si="2"/>
        <v/>
      </c>
      <c r="H32" s="21"/>
      <c r="I32" s="19"/>
      <c r="J32" s="20" t="str">
        <f t="shared" si="3"/>
        <v/>
      </c>
      <c r="K32" s="18" t="str">
        <f t="shared" si="4"/>
        <v/>
      </c>
      <c r="L32" s="22" t="str">
        <f t="shared" si="5"/>
        <v/>
      </c>
      <c r="M32" s="17" t="str">
        <f t="shared" si="6"/>
        <v/>
      </c>
      <c r="N32" s="14" t="str">
        <f t="shared" si="7"/>
        <v/>
      </c>
      <c r="O32" s="15"/>
      <c r="P32" s="2"/>
      <c r="Q32" s="11" t="str">
        <f t="shared" si="8"/>
        <v/>
      </c>
      <c r="R32" s="11" t="str">
        <f t="shared" si="9"/>
        <v/>
      </c>
      <c r="S32" s="2"/>
      <c r="T32" s="2"/>
      <c r="U32" s="2"/>
      <c r="V32" s="2"/>
      <c r="W32" s="2"/>
      <c r="X32" s="2"/>
    </row>
    <row r="33" spans="1:24">
      <c r="A33" s="14">
        <v>19</v>
      </c>
      <c r="B33" s="15"/>
      <c r="C33" s="16"/>
      <c r="D33" s="17" t="str">
        <f t="shared" si="0"/>
        <v/>
      </c>
      <c r="E33" s="18" t="str">
        <f t="shared" si="1"/>
        <v/>
      </c>
      <c r="F33" s="19"/>
      <c r="G33" s="20" t="str">
        <f t="shared" si="2"/>
        <v/>
      </c>
      <c r="H33" s="21"/>
      <c r="I33" s="19"/>
      <c r="J33" s="20" t="str">
        <f t="shared" si="3"/>
        <v/>
      </c>
      <c r="K33" s="18" t="str">
        <f t="shared" si="4"/>
        <v/>
      </c>
      <c r="L33" s="22" t="str">
        <f t="shared" si="5"/>
        <v/>
      </c>
      <c r="M33" s="17" t="str">
        <f t="shared" si="6"/>
        <v/>
      </c>
      <c r="N33" s="14" t="str">
        <f t="shared" si="7"/>
        <v/>
      </c>
      <c r="O33" s="15"/>
      <c r="P33" s="2"/>
      <c r="Q33" s="11" t="str">
        <f t="shared" si="8"/>
        <v/>
      </c>
      <c r="R33" s="11" t="str">
        <f t="shared" si="9"/>
        <v/>
      </c>
      <c r="S33" s="2"/>
      <c r="T33" s="2"/>
      <c r="U33" s="2"/>
      <c r="V33" s="2"/>
      <c r="W33" s="2"/>
      <c r="X33" s="2"/>
    </row>
    <row r="34" spans="1:24">
      <c r="A34" s="14">
        <v>20</v>
      </c>
      <c r="B34" s="15"/>
      <c r="C34" s="16"/>
      <c r="D34" s="17" t="str">
        <f t="shared" si="0"/>
        <v/>
      </c>
      <c r="E34" s="18" t="str">
        <f t="shared" si="1"/>
        <v/>
      </c>
      <c r="F34" s="19"/>
      <c r="G34" s="20" t="str">
        <f t="shared" si="2"/>
        <v/>
      </c>
      <c r="H34" s="21"/>
      <c r="I34" s="19"/>
      <c r="J34" s="20" t="str">
        <f t="shared" si="3"/>
        <v/>
      </c>
      <c r="K34" s="18" t="str">
        <f t="shared" si="4"/>
        <v/>
      </c>
      <c r="L34" s="22" t="str">
        <f t="shared" si="5"/>
        <v/>
      </c>
      <c r="M34" s="17" t="str">
        <f t="shared" si="6"/>
        <v/>
      </c>
      <c r="N34" s="14" t="str">
        <f t="shared" si="7"/>
        <v/>
      </c>
      <c r="O34" s="15"/>
      <c r="P34" s="2"/>
      <c r="Q34" s="11" t="str">
        <f t="shared" si="8"/>
        <v/>
      </c>
      <c r="R34" s="11" t="str">
        <f t="shared" si="9"/>
        <v/>
      </c>
      <c r="S34" s="2"/>
      <c r="T34" s="2"/>
      <c r="U34" s="2"/>
      <c r="V34" s="2"/>
      <c r="W34" s="2"/>
      <c r="X34" s="2"/>
    </row>
    <row r="35" spans="1:24">
      <c r="A35" s="14">
        <v>21</v>
      </c>
      <c r="B35" s="15"/>
      <c r="C35" s="16"/>
      <c r="D35" s="17" t="str">
        <f t="shared" si="0"/>
        <v/>
      </c>
      <c r="E35" s="18" t="str">
        <f t="shared" si="1"/>
        <v/>
      </c>
      <c r="F35" s="19"/>
      <c r="G35" s="20" t="str">
        <f t="shared" si="2"/>
        <v/>
      </c>
      <c r="H35" s="21"/>
      <c r="I35" s="19"/>
      <c r="J35" s="20" t="str">
        <f t="shared" si="3"/>
        <v/>
      </c>
      <c r="K35" s="18" t="str">
        <f t="shared" si="4"/>
        <v/>
      </c>
      <c r="L35" s="22" t="str">
        <f t="shared" si="5"/>
        <v/>
      </c>
      <c r="M35" s="17" t="str">
        <f t="shared" si="6"/>
        <v/>
      </c>
      <c r="N35" s="14" t="str">
        <f t="shared" si="7"/>
        <v/>
      </c>
      <c r="O35" s="15"/>
      <c r="P35" s="2"/>
      <c r="Q35" s="11" t="str">
        <f t="shared" si="8"/>
        <v/>
      </c>
      <c r="R35" s="11" t="str">
        <f t="shared" si="9"/>
        <v/>
      </c>
      <c r="S35" s="2"/>
      <c r="T35" s="2"/>
      <c r="U35" s="2"/>
      <c r="V35" s="2"/>
      <c r="W35" s="2"/>
      <c r="X35" s="2"/>
    </row>
    <row r="36" spans="1:24">
      <c r="A36" s="14">
        <v>22</v>
      </c>
      <c r="B36" s="15"/>
      <c r="C36" s="16"/>
      <c r="D36" s="17" t="str">
        <f t="shared" si="0"/>
        <v/>
      </c>
      <c r="E36" s="18" t="str">
        <f t="shared" si="1"/>
        <v/>
      </c>
      <c r="F36" s="19"/>
      <c r="G36" s="20" t="str">
        <f t="shared" si="2"/>
        <v/>
      </c>
      <c r="H36" s="21"/>
      <c r="I36" s="19"/>
      <c r="J36" s="20" t="str">
        <f t="shared" si="3"/>
        <v/>
      </c>
      <c r="K36" s="18" t="str">
        <f t="shared" si="4"/>
        <v/>
      </c>
      <c r="L36" s="22" t="str">
        <f t="shared" si="5"/>
        <v/>
      </c>
      <c r="M36" s="17" t="str">
        <f t="shared" si="6"/>
        <v/>
      </c>
      <c r="N36" s="14" t="str">
        <f t="shared" si="7"/>
        <v/>
      </c>
      <c r="O36" s="15"/>
      <c r="P36" s="2"/>
      <c r="Q36" s="11" t="str">
        <f t="shared" si="8"/>
        <v/>
      </c>
      <c r="R36" s="11" t="str">
        <f t="shared" si="9"/>
        <v/>
      </c>
      <c r="S36" s="2"/>
      <c r="T36" s="2"/>
      <c r="U36" s="2"/>
      <c r="V36" s="2"/>
      <c r="W36" s="2"/>
      <c r="X36" s="2"/>
    </row>
    <row r="37" spans="1:24">
      <c r="A37" s="14">
        <v>23</v>
      </c>
      <c r="B37" s="15"/>
      <c r="C37" s="16"/>
      <c r="D37" s="17" t="str">
        <f t="shared" si="0"/>
        <v/>
      </c>
      <c r="E37" s="18" t="str">
        <f t="shared" si="1"/>
        <v/>
      </c>
      <c r="F37" s="19"/>
      <c r="G37" s="20" t="str">
        <f t="shared" si="2"/>
        <v/>
      </c>
      <c r="H37" s="21"/>
      <c r="I37" s="19"/>
      <c r="J37" s="20" t="str">
        <f t="shared" si="3"/>
        <v/>
      </c>
      <c r="K37" s="18" t="str">
        <f t="shared" si="4"/>
        <v/>
      </c>
      <c r="L37" s="22" t="str">
        <f t="shared" si="5"/>
        <v/>
      </c>
      <c r="M37" s="17" t="str">
        <f t="shared" si="6"/>
        <v/>
      </c>
      <c r="N37" s="14" t="str">
        <f t="shared" si="7"/>
        <v/>
      </c>
      <c r="O37" s="15"/>
      <c r="P37" s="2"/>
      <c r="Q37" s="11" t="str">
        <f t="shared" si="8"/>
        <v/>
      </c>
      <c r="R37" s="11" t="str">
        <f t="shared" si="9"/>
        <v/>
      </c>
      <c r="S37" s="2"/>
      <c r="T37" s="2"/>
      <c r="U37" s="2"/>
      <c r="V37" s="2"/>
      <c r="W37" s="2"/>
      <c r="X37" s="2"/>
    </row>
    <row r="38" spans="1:24">
      <c r="A38" s="14">
        <v>24</v>
      </c>
      <c r="B38" s="15"/>
      <c r="C38" s="16"/>
      <c r="D38" s="17" t="str">
        <f t="shared" si="0"/>
        <v/>
      </c>
      <c r="E38" s="18" t="str">
        <f t="shared" si="1"/>
        <v/>
      </c>
      <c r="F38" s="19"/>
      <c r="G38" s="20" t="str">
        <f t="shared" si="2"/>
        <v/>
      </c>
      <c r="H38" s="21"/>
      <c r="I38" s="19"/>
      <c r="J38" s="20" t="str">
        <f t="shared" si="3"/>
        <v/>
      </c>
      <c r="K38" s="18" t="str">
        <f t="shared" si="4"/>
        <v/>
      </c>
      <c r="L38" s="22" t="str">
        <f t="shared" si="5"/>
        <v/>
      </c>
      <c r="M38" s="17" t="str">
        <f t="shared" si="6"/>
        <v/>
      </c>
      <c r="N38" s="14" t="str">
        <f t="shared" si="7"/>
        <v/>
      </c>
      <c r="O38" s="15"/>
      <c r="P38" s="2"/>
      <c r="Q38" s="11" t="str">
        <f t="shared" si="8"/>
        <v/>
      </c>
      <c r="R38" s="11" t="str">
        <f t="shared" si="9"/>
        <v/>
      </c>
      <c r="S38" s="2"/>
      <c r="T38" s="2"/>
      <c r="U38" s="2"/>
      <c r="V38" s="2"/>
      <c r="W38" s="2"/>
      <c r="X38" s="2"/>
    </row>
    <row r="39" spans="1:24">
      <c r="A39" s="14">
        <v>25</v>
      </c>
      <c r="B39" s="15"/>
      <c r="C39" s="16"/>
      <c r="D39" s="17" t="str">
        <f t="shared" si="0"/>
        <v/>
      </c>
      <c r="E39" s="18" t="str">
        <f t="shared" si="1"/>
        <v/>
      </c>
      <c r="F39" s="19"/>
      <c r="G39" s="20" t="str">
        <f t="shared" si="2"/>
        <v/>
      </c>
      <c r="H39" s="21"/>
      <c r="I39" s="19"/>
      <c r="J39" s="20" t="str">
        <f t="shared" si="3"/>
        <v/>
      </c>
      <c r="K39" s="18" t="str">
        <f t="shared" si="4"/>
        <v/>
      </c>
      <c r="L39" s="22" t="str">
        <f t="shared" si="5"/>
        <v/>
      </c>
      <c r="M39" s="17" t="str">
        <f t="shared" si="6"/>
        <v/>
      </c>
      <c r="N39" s="14" t="str">
        <f t="shared" si="7"/>
        <v/>
      </c>
      <c r="O39" s="15"/>
      <c r="P39" s="2"/>
      <c r="Q39" s="11" t="str">
        <f t="shared" si="8"/>
        <v/>
      </c>
      <c r="R39" s="11" t="str">
        <f t="shared" si="9"/>
        <v/>
      </c>
      <c r="S39" s="2"/>
      <c r="T39" s="2"/>
      <c r="U39" s="2"/>
      <c r="V39" s="2"/>
      <c r="W39" s="2"/>
      <c r="X39" s="2"/>
    </row>
    <row r="40" spans="1:24">
      <c r="A40" s="14">
        <v>26</v>
      </c>
      <c r="B40" s="15"/>
      <c r="C40" s="16"/>
      <c r="D40" s="17" t="str">
        <f t="shared" si="0"/>
        <v/>
      </c>
      <c r="E40" s="18" t="str">
        <f t="shared" si="1"/>
        <v/>
      </c>
      <c r="F40" s="19"/>
      <c r="G40" s="20" t="str">
        <f t="shared" si="2"/>
        <v/>
      </c>
      <c r="H40" s="21"/>
      <c r="I40" s="19"/>
      <c r="J40" s="20" t="str">
        <f t="shared" si="3"/>
        <v/>
      </c>
      <c r="K40" s="18" t="str">
        <f t="shared" si="4"/>
        <v/>
      </c>
      <c r="L40" s="22" t="str">
        <f t="shared" si="5"/>
        <v/>
      </c>
      <c r="M40" s="17" t="str">
        <f t="shared" si="6"/>
        <v/>
      </c>
      <c r="N40" s="14" t="str">
        <f t="shared" si="7"/>
        <v/>
      </c>
      <c r="O40" s="15"/>
      <c r="P40" s="2"/>
      <c r="Q40" s="11" t="str">
        <f t="shared" si="8"/>
        <v/>
      </c>
      <c r="R40" s="11" t="str">
        <f t="shared" si="9"/>
        <v/>
      </c>
      <c r="S40" s="2"/>
      <c r="T40" s="2"/>
      <c r="U40" s="2"/>
      <c r="V40" s="2"/>
      <c r="W40" s="2"/>
      <c r="X40" s="2"/>
    </row>
    <row r="41" spans="1:24">
      <c r="A41" s="14">
        <v>27</v>
      </c>
      <c r="B41" s="15"/>
      <c r="C41" s="16"/>
      <c r="D41" s="17" t="str">
        <f t="shared" si="0"/>
        <v/>
      </c>
      <c r="E41" s="18" t="str">
        <f t="shared" si="1"/>
        <v/>
      </c>
      <c r="F41" s="19"/>
      <c r="G41" s="20" t="str">
        <f t="shared" si="2"/>
        <v/>
      </c>
      <c r="H41" s="21"/>
      <c r="I41" s="19"/>
      <c r="J41" s="20" t="str">
        <f t="shared" si="3"/>
        <v/>
      </c>
      <c r="K41" s="18" t="str">
        <f t="shared" si="4"/>
        <v/>
      </c>
      <c r="L41" s="22" t="str">
        <f t="shared" si="5"/>
        <v/>
      </c>
      <c r="M41" s="17" t="str">
        <f t="shared" si="6"/>
        <v/>
      </c>
      <c r="N41" s="14" t="str">
        <f t="shared" si="7"/>
        <v/>
      </c>
      <c r="O41" s="15"/>
      <c r="P41" s="2"/>
      <c r="Q41" s="11" t="str">
        <f t="shared" si="8"/>
        <v/>
      </c>
      <c r="R41" s="11" t="str">
        <f t="shared" si="9"/>
        <v/>
      </c>
      <c r="S41" s="2"/>
      <c r="T41" s="2"/>
      <c r="U41" s="2"/>
      <c r="V41" s="2"/>
      <c r="W41" s="2"/>
      <c r="X41" s="2"/>
    </row>
    <row r="42" spans="1:24">
      <c r="A42" s="14">
        <v>28</v>
      </c>
      <c r="B42" s="15"/>
      <c r="C42" s="16"/>
      <c r="D42" s="17" t="str">
        <f t="shared" si="0"/>
        <v/>
      </c>
      <c r="E42" s="18" t="str">
        <f t="shared" si="1"/>
        <v/>
      </c>
      <c r="F42" s="19"/>
      <c r="G42" s="20" t="str">
        <f t="shared" si="2"/>
        <v/>
      </c>
      <c r="H42" s="21"/>
      <c r="I42" s="19"/>
      <c r="J42" s="20" t="str">
        <f t="shared" si="3"/>
        <v/>
      </c>
      <c r="K42" s="18" t="str">
        <f t="shared" si="4"/>
        <v/>
      </c>
      <c r="L42" s="22" t="str">
        <f t="shared" si="5"/>
        <v/>
      </c>
      <c r="M42" s="17" t="str">
        <f t="shared" si="6"/>
        <v/>
      </c>
      <c r="N42" s="14" t="str">
        <f t="shared" si="7"/>
        <v/>
      </c>
      <c r="O42" s="15"/>
      <c r="P42" s="2"/>
      <c r="Q42" s="11" t="str">
        <f t="shared" si="8"/>
        <v/>
      </c>
      <c r="R42" s="11" t="str">
        <f t="shared" si="9"/>
        <v/>
      </c>
      <c r="S42" s="2"/>
      <c r="T42" s="2"/>
      <c r="U42" s="2"/>
      <c r="V42" s="2"/>
      <c r="W42" s="2"/>
      <c r="X42" s="2"/>
    </row>
    <row r="43" spans="1:24">
      <c r="A43" s="14">
        <v>29</v>
      </c>
      <c r="B43" s="15"/>
      <c r="C43" s="16"/>
      <c r="D43" s="17" t="str">
        <f t="shared" si="0"/>
        <v/>
      </c>
      <c r="E43" s="18" t="str">
        <f t="shared" si="1"/>
        <v/>
      </c>
      <c r="F43" s="19"/>
      <c r="G43" s="20" t="str">
        <f t="shared" si="2"/>
        <v/>
      </c>
      <c r="H43" s="21"/>
      <c r="I43" s="19"/>
      <c r="J43" s="20" t="str">
        <f t="shared" si="3"/>
        <v/>
      </c>
      <c r="K43" s="18" t="str">
        <f t="shared" si="4"/>
        <v/>
      </c>
      <c r="L43" s="22" t="str">
        <f t="shared" si="5"/>
        <v/>
      </c>
      <c r="M43" s="17" t="str">
        <f t="shared" si="6"/>
        <v/>
      </c>
      <c r="N43" s="14" t="str">
        <f t="shared" si="7"/>
        <v/>
      </c>
      <c r="O43" s="15"/>
      <c r="P43" s="2"/>
      <c r="Q43" s="11" t="str">
        <f t="shared" si="8"/>
        <v/>
      </c>
      <c r="R43" s="11" t="str">
        <f t="shared" si="9"/>
        <v/>
      </c>
      <c r="S43" s="2"/>
      <c r="T43" s="2"/>
      <c r="U43" s="2"/>
      <c r="V43" s="2"/>
      <c r="W43" s="2"/>
      <c r="X43" s="2"/>
    </row>
    <row r="44" spans="1:24">
      <c r="A44" s="14">
        <v>30</v>
      </c>
      <c r="B44" s="15"/>
      <c r="C44" s="16"/>
      <c r="D44" s="17" t="str">
        <f t="shared" si="0"/>
        <v/>
      </c>
      <c r="E44" s="18" t="str">
        <f t="shared" si="1"/>
        <v/>
      </c>
      <c r="F44" s="19"/>
      <c r="G44" s="20" t="str">
        <f t="shared" si="2"/>
        <v/>
      </c>
      <c r="H44" s="21"/>
      <c r="I44" s="19"/>
      <c r="J44" s="20" t="str">
        <f t="shared" si="3"/>
        <v/>
      </c>
      <c r="K44" s="18" t="str">
        <f t="shared" si="4"/>
        <v/>
      </c>
      <c r="L44" s="22" t="str">
        <f t="shared" si="5"/>
        <v/>
      </c>
      <c r="M44" s="17" t="str">
        <f t="shared" si="6"/>
        <v/>
      </c>
      <c r="N44" s="14" t="str">
        <f t="shared" si="7"/>
        <v/>
      </c>
      <c r="O44" s="15"/>
      <c r="P44" s="2"/>
      <c r="Q44" s="11" t="str">
        <f t="shared" si="8"/>
        <v/>
      </c>
      <c r="R44" s="11" t="str">
        <f t="shared" si="9"/>
        <v/>
      </c>
      <c r="S44" s="2"/>
      <c r="T44" s="2"/>
      <c r="U44" s="2"/>
      <c r="V44" s="2"/>
      <c r="W44" s="2"/>
      <c r="X44" s="2"/>
    </row>
    <row r="45" spans="1:24">
      <c r="A45" s="14">
        <v>31</v>
      </c>
      <c r="B45" s="15"/>
      <c r="C45" s="16"/>
      <c r="D45" s="17" t="str">
        <f t="shared" si="0"/>
        <v/>
      </c>
      <c r="E45" s="18" t="str">
        <f t="shared" si="1"/>
        <v/>
      </c>
      <c r="F45" s="19"/>
      <c r="G45" s="20" t="str">
        <f t="shared" si="2"/>
        <v/>
      </c>
      <c r="H45" s="21"/>
      <c r="I45" s="19"/>
      <c r="J45" s="20" t="str">
        <f t="shared" si="3"/>
        <v/>
      </c>
      <c r="K45" s="18" t="str">
        <f t="shared" si="4"/>
        <v/>
      </c>
      <c r="L45" s="22" t="str">
        <f t="shared" si="5"/>
        <v/>
      </c>
      <c r="M45" s="17" t="str">
        <f t="shared" si="6"/>
        <v/>
      </c>
      <c r="N45" s="14" t="str">
        <f t="shared" si="7"/>
        <v/>
      </c>
      <c r="O45" s="15"/>
      <c r="P45" s="2"/>
      <c r="Q45" s="11" t="str">
        <f t="shared" si="8"/>
        <v/>
      </c>
      <c r="R45" s="11" t="str">
        <f t="shared" si="9"/>
        <v/>
      </c>
      <c r="S45" s="2"/>
      <c r="T45" s="2"/>
      <c r="U45" s="2"/>
      <c r="V45" s="2"/>
      <c r="W45" s="2"/>
      <c r="X45" s="2"/>
    </row>
    <row r="46" spans="1:24">
      <c r="A46" s="14">
        <v>32</v>
      </c>
      <c r="B46" s="15"/>
      <c r="C46" s="16"/>
      <c r="D46" s="17" t="str">
        <f t="shared" si="0"/>
        <v/>
      </c>
      <c r="E46" s="18" t="str">
        <f t="shared" si="1"/>
        <v/>
      </c>
      <c r="F46" s="19"/>
      <c r="G46" s="20" t="str">
        <f t="shared" si="2"/>
        <v/>
      </c>
      <c r="H46" s="21"/>
      <c r="I46" s="19"/>
      <c r="J46" s="20" t="str">
        <f t="shared" si="3"/>
        <v/>
      </c>
      <c r="K46" s="18" t="str">
        <f t="shared" si="4"/>
        <v/>
      </c>
      <c r="L46" s="22" t="str">
        <f t="shared" si="5"/>
        <v/>
      </c>
      <c r="M46" s="17" t="str">
        <f t="shared" si="6"/>
        <v/>
      </c>
      <c r="N46" s="14" t="str">
        <f t="shared" si="7"/>
        <v/>
      </c>
      <c r="O46" s="15"/>
      <c r="P46" s="2"/>
      <c r="Q46" s="11" t="str">
        <f t="shared" si="8"/>
        <v/>
      </c>
      <c r="R46" s="11" t="str">
        <f t="shared" si="9"/>
        <v/>
      </c>
      <c r="S46" s="2"/>
      <c r="T46" s="2"/>
      <c r="U46" s="2"/>
      <c r="V46" s="2"/>
      <c r="W46" s="2"/>
      <c r="X46" s="2"/>
    </row>
    <row r="47" spans="1:24">
      <c r="A47" s="14">
        <v>33</v>
      </c>
      <c r="B47" s="15"/>
      <c r="C47" s="16"/>
      <c r="D47" s="17" t="str">
        <f t="shared" ref="D47:D64" si="10">IF(OR(B47&lt;&gt;"",C47&lt;&gt;"",F47&lt;&gt;"",H47&lt;&gt;"",I47&lt;&gt;""),$B$7,"")</f>
        <v/>
      </c>
      <c r="E47" s="18" t="str">
        <f t="shared" ref="E47:E64" si="11">IF(D47="","",1/D47)</f>
        <v/>
      </c>
      <c r="F47" s="19"/>
      <c r="G47" s="20" t="str">
        <f t="shared" ref="G47:G64" si="12">IF(F47="","",F47-$B$4)</f>
        <v/>
      </c>
      <c r="H47" s="21"/>
      <c r="I47" s="19"/>
      <c r="J47" s="20" t="str">
        <f t="shared" ref="J47:J64" si="13">IF(OR(E47="",H47=""),"",DEGREES(E47*H47))</f>
        <v/>
      </c>
      <c r="K47" s="18" t="str">
        <f t="shared" ref="K47:K64" si="14">IF(OR(H47="",I47="",H47=0),"",RADIANS(I47)/H47)</f>
        <v/>
      </c>
      <c r="L47" s="22" t="str">
        <f t="shared" ref="L47:L64" si="15">IF(OR(K47="",E47="",E47=0),"",(ABS(K47)-ABS(E47))/ABS(E47))</f>
        <v/>
      </c>
      <c r="M47" s="17" t="str">
        <f t="shared" ref="M47:M64" si="16">IF(OR(K47="",K47=0),"",1/K47)</f>
        <v/>
      </c>
      <c r="N47" s="14" t="str">
        <f t="shared" ref="N47:N64" si="17">IF(OR(K47="",E47=""),"",IF(SIGN(K47)&lt;&gt;SIGN(E47),"WRONG SIGN",IF(ABS(L47)&lt;=$B$9,"ACCEPT",IF(ABS(K47)&lt;ABS(E47),"UNDER","OVER"))))</f>
        <v/>
      </c>
      <c r="O47" s="15"/>
      <c r="P47" s="2"/>
      <c r="Q47" s="11" t="str">
        <f t="shared" ref="Q47:Q64" si="18">IF(F47="","",F47)</f>
        <v/>
      </c>
      <c r="R47" s="11" t="str">
        <f t="shared" ref="R47:R64" si="19">IF(K47="","",ABS(K47)*1000)</f>
        <v/>
      </c>
      <c r="S47" s="2"/>
      <c r="T47" s="2"/>
      <c r="U47" s="2"/>
      <c r="V47" s="2"/>
      <c r="W47" s="2"/>
      <c r="X47" s="2"/>
    </row>
    <row r="48" spans="1:24">
      <c r="A48" s="14">
        <v>34</v>
      </c>
      <c r="B48" s="15"/>
      <c r="C48" s="16"/>
      <c r="D48" s="17" t="str">
        <f t="shared" si="10"/>
        <v/>
      </c>
      <c r="E48" s="18" t="str">
        <f t="shared" si="11"/>
        <v/>
      </c>
      <c r="F48" s="19"/>
      <c r="G48" s="20" t="str">
        <f t="shared" si="12"/>
        <v/>
      </c>
      <c r="H48" s="21"/>
      <c r="I48" s="19"/>
      <c r="J48" s="20" t="str">
        <f t="shared" si="13"/>
        <v/>
      </c>
      <c r="K48" s="18" t="str">
        <f t="shared" si="14"/>
        <v/>
      </c>
      <c r="L48" s="22" t="str">
        <f t="shared" si="15"/>
        <v/>
      </c>
      <c r="M48" s="17" t="str">
        <f t="shared" si="16"/>
        <v/>
      </c>
      <c r="N48" s="14" t="str">
        <f t="shared" si="17"/>
        <v/>
      </c>
      <c r="O48" s="15"/>
      <c r="P48" s="2"/>
      <c r="Q48" s="11" t="str">
        <f t="shared" si="18"/>
        <v/>
      </c>
      <c r="R48" s="11" t="str">
        <f t="shared" si="19"/>
        <v/>
      </c>
      <c r="S48" s="2"/>
      <c r="T48" s="2"/>
      <c r="U48" s="2"/>
      <c r="V48" s="2"/>
      <c r="W48" s="2"/>
      <c r="X48" s="2"/>
    </row>
    <row r="49" spans="1:24">
      <c r="A49" s="14">
        <v>35</v>
      </c>
      <c r="B49" s="15"/>
      <c r="C49" s="16"/>
      <c r="D49" s="17" t="str">
        <f t="shared" si="10"/>
        <v/>
      </c>
      <c r="E49" s="18" t="str">
        <f t="shared" si="11"/>
        <v/>
      </c>
      <c r="F49" s="19"/>
      <c r="G49" s="20" t="str">
        <f t="shared" si="12"/>
        <v/>
      </c>
      <c r="H49" s="21"/>
      <c r="I49" s="19"/>
      <c r="J49" s="20" t="str">
        <f t="shared" si="13"/>
        <v/>
      </c>
      <c r="K49" s="18" t="str">
        <f t="shared" si="14"/>
        <v/>
      </c>
      <c r="L49" s="22" t="str">
        <f t="shared" si="15"/>
        <v/>
      </c>
      <c r="M49" s="17" t="str">
        <f t="shared" si="16"/>
        <v/>
      </c>
      <c r="N49" s="14" t="str">
        <f t="shared" si="17"/>
        <v/>
      </c>
      <c r="O49" s="15"/>
      <c r="P49" s="2"/>
      <c r="Q49" s="11" t="str">
        <f t="shared" si="18"/>
        <v/>
      </c>
      <c r="R49" s="11" t="str">
        <f t="shared" si="19"/>
        <v/>
      </c>
      <c r="S49" s="2"/>
      <c r="T49" s="2"/>
      <c r="U49" s="2"/>
      <c r="V49" s="2"/>
      <c r="W49" s="2"/>
      <c r="X49" s="2"/>
    </row>
    <row r="50" spans="1:24">
      <c r="A50" s="14">
        <v>36</v>
      </c>
      <c r="B50" s="15"/>
      <c r="C50" s="16"/>
      <c r="D50" s="17" t="str">
        <f t="shared" si="10"/>
        <v/>
      </c>
      <c r="E50" s="18" t="str">
        <f t="shared" si="11"/>
        <v/>
      </c>
      <c r="F50" s="19"/>
      <c r="G50" s="20" t="str">
        <f t="shared" si="12"/>
        <v/>
      </c>
      <c r="H50" s="21"/>
      <c r="I50" s="19"/>
      <c r="J50" s="20" t="str">
        <f t="shared" si="13"/>
        <v/>
      </c>
      <c r="K50" s="18" t="str">
        <f t="shared" si="14"/>
        <v/>
      </c>
      <c r="L50" s="22" t="str">
        <f t="shared" si="15"/>
        <v/>
      </c>
      <c r="M50" s="17" t="str">
        <f t="shared" si="16"/>
        <v/>
      </c>
      <c r="N50" s="14" t="str">
        <f t="shared" si="17"/>
        <v/>
      </c>
      <c r="O50" s="15"/>
      <c r="P50" s="2"/>
      <c r="Q50" s="11" t="str">
        <f t="shared" si="18"/>
        <v/>
      </c>
      <c r="R50" s="11" t="str">
        <f t="shared" si="19"/>
        <v/>
      </c>
      <c r="S50" s="2"/>
      <c r="T50" s="2"/>
      <c r="U50" s="2"/>
      <c r="V50" s="2"/>
      <c r="W50" s="2"/>
      <c r="X50" s="2"/>
    </row>
    <row r="51" spans="1:24">
      <c r="A51" s="14">
        <v>37</v>
      </c>
      <c r="B51" s="15"/>
      <c r="C51" s="16"/>
      <c r="D51" s="17" t="str">
        <f t="shared" si="10"/>
        <v/>
      </c>
      <c r="E51" s="18" t="str">
        <f t="shared" si="11"/>
        <v/>
      </c>
      <c r="F51" s="19"/>
      <c r="G51" s="20" t="str">
        <f t="shared" si="12"/>
        <v/>
      </c>
      <c r="H51" s="21"/>
      <c r="I51" s="19"/>
      <c r="J51" s="20" t="str">
        <f t="shared" si="13"/>
        <v/>
      </c>
      <c r="K51" s="18" t="str">
        <f t="shared" si="14"/>
        <v/>
      </c>
      <c r="L51" s="22" t="str">
        <f t="shared" si="15"/>
        <v/>
      </c>
      <c r="M51" s="17" t="str">
        <f t="shared" si="16"/>
        <v/>
      </c>
      <c r="N51" s="14" t="str">
        <f t="shared" si="17"/>
        <v/>
      </c>
      <c r="O51" s="15"/>
      <c r="P51" s="2"/>
      <c r="Q51" s="11" t="str">
        <f t="shared" si="18"/>
        <v/>
      </c>
      <c r="R51" s="11" t="str">
        <f t="shared" si="19"/>
        <v/>
      </c>
      <c r="S51" s="2"/>
      <c r="T51" s="2"/>
      <c r="U51" s="2"/>
      <c r="V51" s="2"/>
      <c r="W51" s="2"/>
      <c r="X51" s="2"/>
    </row>
    <row r="52" spans="1:24">
      <c r="A52" s="14">
        <v>38</v>
      </c>
      <c r="B52" s="15"/>
      <c r="C52" s="16"/>
      <c r="D52" s="17" t="str">
        <f t="shared" si="10"/>
        <v/>
      </c>
      <c r="E52" s="18" t="str">
        <f t="shared" si="11"/>
        <v/>
      </c>
      <c r="F52" s="19"/>
      <c r="G52" s="20" t="str">
        <f t="shared" si="12"/>
        <v/>
      </c>
      <c r="H52" s="21"/>
      <c r="I52" s="19"/>
      <c r="J52" s="20" t="str">
        <f t="shared" si="13"/>
        <v/>
      </c>
      <c r="K52" s="18" t="str">
        <f t="shared" si="14"/>
        <v/>
      </c>
      <c r="L52" s="22" t="str">
        <f t="shared" si="15"/>
        <v/>
      </c>
      <c r="M52" s="17" t="str">
        <f t="shared" si="16"/>
        <v/>
      </c>
      <c r="N52" s="14" t="str">
        <f t="shared" si="17"/>
        <v/>
      </c>
      <c r="O52" s="15"/>
      <c r="P52" s="2"/>
      <c r="Q52" s="11" t="str">
        <f t="shared" si="18"/>
        <v/>
      </c>
      <c r="R52" s="11" t="str">
        <f t="shared" si="19"/>
        <v/>
      </c>
      <c r="S52" s="2"/>
      <c r="T52" s="2"/>
      <c r="U52" s="2"/>
      <c r="V52" s="2"/>
      <c r="W52" s="2"/>
      <c r="X52" s="2"/>
    </row>
    <row r="53" spans="1:24">
      <c r="A53" s="14">
        <v>39</v>
      </c>
      <c r="B53" s="15"/>
      <c r="C53" s="16"/>
      <c r="D53" s="17" t="str">
        <f t="shared" si="10"/>
        <v/>
      </c>
      <c r="E53" s="18" t="str">
        <f t="shared" si="11"/>
        <v/>
      </c>
      <c r="F53" s="19"/>
      <c r="G53" s="20" t="str">
        <f t="shared" si="12"/>
        <v/>
      </c>
      <c r="H53" s="21"/>
      <c r="I53" s="19"/>
      <c r="J53" s="20" t="str">
        <f t="shared" si="13"/>
        <v/>
      </c>
      <c r="K53" s="18" t="str">
        <f t="shared" si="14"/>
        <v/>
      </c>
      <c r="L53" s="22" t="str">
        <f t="shared" si="15"/>
        <v/>
      </c>
      <c r="M53" s="17" t="str">
        <f t="shared" si="16"/>
        <v/>
      </c>
      <c r="N53" s="14" t="str">
        <f t="shared" si="17"/>
        <v/>
      </c>
      <c r="O53" s="15"/>
      <c r="P53" s="2"/>
      <c r="Q53" s="11" t="str">
        <f t="shared" si="18"/>
        <v/>
      </c>
      <c r="R53" s="11" t="str">
        <f t="shared" si="19"/>
        <v/>
      </c>
      <c r="S53" s="2"/>
      <c r="T53" s="2"/>
      <c r="U53" s="2"/>
      <c r="V53" s="2"/>
      <c r="W53" s="2"/>
      <c r="X53" s="2"/>
    </row>
    <row r="54" spans="1:24">
      <c r="A54" s="14">
        <v>40</v>
      </c>
      <c r="B54" s="15"/>
      <c r="C54" s="16"/>
      <c r="D54" s="17" t="str">
        <f t="shared" si="10"/>
        <v/>
      </c>
      <c r="E54" s="18" t="str">
        <f t="shared" si="11"/>
        <v/>
      </c>
      <c r="F54" s="19"/>
      <c r="G54" s="20" t="str">
        <f t="shared" si="12"/>
        <v/>
      </c>
      <c r="H54" s="21"/>
      <c r="I54" s="19"/>
      <c r="J54" s="20" t="str">
        <f t="shared" si="13"/>
        <v/>
      </c>
      <c r="K54" s="18" t="str">
        <f t="shared" si="14"/>
        <v/>
      </c>
      <c r="L54" s="22" t="str">
        <f t="shared" si="15"/>
        <v/>
      </c>
      <c r="M54" s="17" t="str">
        <f t="shared" si="16"/>
        <v/>
      </c>
      <c r="N54" s="14" t="str">
        <f t="shared" si="17"/>
        <v/>
      </c>
      <c r="O54" s="15"/>
      <c r="P54" s="2"/>
      <c r="Q54" s="11" t="str">
        <f t="shared" si="18"/>
        <v/>
      </c>
      <c r="R54" s="11" t="str">
        <f t="shared" si="19"/>
        <v/>
      </c>
      <c r="S54" s="2"/>
      <c r="T54" s="2"/>
      <c r="U54" s="2"/>
      <c r="V54" s="2"/>
      <c r="W54" s="2"/>
      <c r="X54" s="2"/>
    </row>
    <row r="55" spans="1:24">
      <c r="A55" s="14">
        <v>41</v>
      </c>
      <c r="B55" s="15"/>
      <c r="C55" s="16"/>
      <c r="D55" s="17" t="str">
        <f t="shared" si="10"/>
        <v/>
      </c>
      <c r="E55" s="18" t="str">
        <f t="shared" si="11"/>
        <v/>
      </c>
      <c r="F55" s="19"/>
      <c r="G55" s="20" t="str">
        <f t="shared" si="12"/>
        <v/>
      </c>
      <c r="H55" s="21"/>
      <c r="I55" s="19"/>
      <c r="J55" s="20" t="str">
        <f t="shared" si="13"/>
        <v/>
      </c>
      <c r="K55" s="18" t="str">
        <f t="shared" si="14"/>
        <v/>
      </c>
      <c r="L55" s="22" t="str">
        <f t="shared" si="15"/>
        <v/>
      </c>
      <c r="M55" s="17" t="str">
        <f t="shared" si="16"/>
        <v/>
      </c>
      <c r="N55" s="14" t="str">
        <f t="shared" si="17"/>
        <v/>
      </c>
      <c r="O55" s="15"/>
      <c r="P55" s="2"/>
      <c r="Q55" s="11" t="str">
        <f t="shared" si="18"/>
        <v/>
      </c>
      <c r="R55" s="11" t="str">
        <f t="shared" si="19"/>
        <v/>
      </c>
      <c r="S55" s="2"/>
      <c r="T55" s="2"/>
      <c r="U55" s="2"/>
      <c r="V55" s="2"/>
      <c r="W55" s="2"/>
      <c r="X55" s="2"/>
    </row>
    <row r="56" spans="1:24">
      <c r="A56" s="14">
        <v>42</v>
      </c>
      <c r="B56" s="15"/>
      <c r="C56" s="16"/>
      <c r="D56" s="17" t="str">
        <f t="shared" si="10"/>
        <v/>
      </c>
      <c r="E56" s="18" t="str">
        <f t="shared" si="11"/>
        <v/>
      </c>
      <c r="F56" s="19"/>
      <c r="G56" s="20" t="str">
        <f t="shared" si="12"/>
        <v/>
      </c>
      <c r="H56" s="21"/>
      <c r="I56" s="19"/>
      <c r="J56" s="20" t="str">
        <f t="shared" si="13"/>
        <v/>
      </c>
      <c r="K56" s="18" t="str">
        <f t="shared" si="14"/>
        <v/>
      </c>
      <c r="L56" s="22" t="str">
        <f t="shared" si="15"/>
        <v/>
      </c>
      <c r="M56" s="17" t="str">
        <f t="shared" si="16"/>
        <v/>
      </c>
      <c r="N56" s="14" t="str">
        <f t="shared" si="17"/>
        <v/>
      </c>
      <c r="O56" s="15"/>
      <c r="P56" s="2"/>
      <c r="Q56" s="11" t="str">
        <f t="shared" si="18"/>
        <v/>
      </c>
      <c r="R56" s="11" t="str">
        <f t="shared" si="19"/>
        <v/>
      </c>
      <c r="S56" s="2"/>
      <c r="T56" s="2"/>
      <c r="U56" s="2"/>
      <c r="V56" s="2"/>
      <c r="W56" s="2"/>
      <c r="X56" s="2"/>
    </row>
    <row r="57" spans="1:24">
      <c r="A57" s="14">
        <v>43</v>
      </c>
      <c r="B57" s="15"/>
      <c r="C57" s="16"/>
      <c r="D57" s="17" t="str">
        <f t="shared" si="10"/>
        <v/>
      </c>
      <c r="E57" s="18" t="str">
        <f t="shared" si="11"/>
        <v/>
      </c>
      <c r="F57" s="19"/>
      <c r="G57" s="20" t="str">
        <f t="shared" si="12"/>
        <v/>
      </c>
      <c r="H57" s="21"/>
      <c r="I57" s="19"/>
      <c r="J57" s="20" t="str">
        <f t="shared" si="13"/>
        <v/>
      </c>
      <c r="K57" s="18" t="str">
        <f t="shared" si="14"/>
        <v/>
      </c>
      <c r="L57" s="22" t="str">
        <f t="shared" si="15"/>
        <v/>
      </c>
      <c r="M57" s="17" t="str">
        <f t="shared" si="16"/>
        <v/>
      </c>
      <c r="N57" s="14" t="str">
        <f t="shared" si="17"/>
        <v/>
      </c>
      <c r="O57" s="15"/>
      <c r="P57" s="2"/>
      <c r="Q57" s="11" t="str">
        <f t="shared" si="18"/>
        <v/>
      </c>
      <c r="R57" s="11" t="str">
        <f t="shared" si="19"/>
        <v/>
      </c>
      <c r="S57" s="2"/>
      <c r="T57" s="2"/>
      <c r="U57" s="2"/>
      <c r="V57" s="2"/>
      <c r="W57" s="2"/>
      <c r="X57" s="2"/>
    </row>
    <row r="58" spans="1:24">
      <c r="A58" s="14">
        <v>44</v>
      </c>
      <c r="B58" s="15"/>
      <c r="C58" s="16"/>
      <c r="D58" s="17" t="str">
        <f t="shared" si="10"/>
        <v/>
      </c>
      <c r="E58" s="18" t="str">
        <f t="shared" si="11"/>
        <v/>
      </c>
      <c r="F58" s="19"/>
      <c r="G58" s="20" t="str">
        <f t="shared" si="12"/>
        <v/>
      </c>
      <c r="H58" s="21"/>
      <c r="I58" s="19"/>
      <c r="J58" s="20" t="str">
        <f t="shared" si="13"/>
        <v/>
      </c>
      <c r="K58" s="18" t="str">
        <f t="shared" si="14"/>
        <v/>
      </c>
      <c r="L58" s="22" t="str">
        <f t="shared" si="15"/>
        <v/>
      </c>
      <c r="M58" s="17" t="str">
        <f t="shared" si="16"/>
        <v/>
      </c>
      <c r="N58" s="14" t="str">
        <f t="shared" si="17"/>
        <v/>
      </c>
      <c r="O58" s="15"/>
      <c r="P58" s="2"/>
      <c r="Q58" s="11" t="str">
        <f t="shared" si="18"/>
        <v/>
      </c>
      <c r="R58" s="11" t="str">
        <f t="shared" si="19"/>
        <v/>
      </c>
      <c r="S58" s="2"/>
      <c r="T58" s="2"/>
      <c r="U58" s="2"/>
      <c r="V58" s="2"/>
      <c r="W58" s="2"/>
      <c r="X58" s="2"/>
    </row>
    <row r="59" spans="1:24">
      <c r="A59" s="14">
        <v>45</v>
      </c>
      <c r="B59" s="15"/>
      <c r="C59" s="16"/>
      <c r="D59" s="17" t="str">
        <f t="shared" si="10"/>
        <v/>
      </c>
      <c r="E59" s="18" t="str">
        <f t="shared" si="11"/>
        <v/>
      </c>
      <c r="F59" s="19"/>
      <c r="G59" s="20" t="str">
        <f t="shared" si="12"/>
        <v/>
      </c>
      <c r="H59" s="21"/>
      <c r="I59" s="19"/>
      <c r="J59" s="20" t="str">
        <f t="shared" si="13"/>
        <v/>
      </c>
      <c r="K59" s="18" t="str">
        <f t="shared" si="14"/>
        <v/>
      </c>
      <c r="L59" s="22" t="str">
        <f t="shared" si="15"/>
        <v/>
      </c>
      <c r="M59" s="17" t="str">
        <f t="shared" si="16"/>
        <v/>
      </c>
      <c r="N59" s="14" t="str">
        <f t="shared" si="17"/>
        <v/>
      </c>
      <c r="O59" s="15"/>
      <c r="P59" s="2"/>
      <c r="Q59" s="11" t="str">
        <f t="shared" si="18"/>
        <v/>
      </c>
      <c r="R59" s="11" t="str">
        <f t="shared" si="19"/>
        <v/>
      </c>
      <c r="S59" s="2"/>
      <c r="T59" s="2"/>
      <c r="U59" s="2"/>
      <c r="V59" s="2"/>
      <c r="W59" s="2"/>
      <c r="X59" s="2"/>
    </row>
    <row r="60" spans="1:24">
      <c r="A60" s="14">
        <v>46</v>
      </c>
      <c r="B60" s="15"/>
      <c r="C60" s="16"/>
      <c r="D60" s="17" t="str">
        <f t="shared" si="10"/>
        <v/>
      </c>
      <c r="E60" s="18" t="str">
        <f t="shared" si="11"/>
        <v/>
      </c>
      <c r="F60" s="19"/>
      <c r="G60" s="20" t="str">
        <f t="shared" si="12"/>
        <v/>
      </c>
      <c r="H60" s="21"/>
      <c r="I60" s="19"/>
      <c r="J60" s="20" t="str">
        <f t="shared" si="13"/>
        <v/>
      </c>
      <c r="K60" s="18" t="str">
        <f t="shared" si="14"/>
        <v/>
      </c>
      <c r="L60" s="22" t="str">
        <f t="shared" si="15"/>
        <v/>
      </c>
      <c r="M60" s="17" t="str">
        <f t="shared" si="16"/>
        <v/>
      </c>
      <c r="N60" s="14" t="str">
        <f t="shared" si="17"/>
        <v/>
      </c>
      <c r="O60" s="15"/>
      <c r="P60" s="2"/>
      <c r="Q60" s="11" t="str">
        <f t="shared" si="18"/>
        <v/>
      </c>
      <c r="R60" s="11" t="str">
        <f t="shared" si="19"/>
        <v/>
      </c>
      <c r="S60" s="2"/>
      <c r="T60" s="2"/>
      <c r="U60" s="2"/>
      <c r="V60" s="2"/>
      <c r="W60" s="2"/>
      <c r="X60" s="2"/>
    </row>
    <row r="61" spans="1:24">
      <c r="A61" s="14">
        <v>47</v>
      </c>
      <c r="B61" s="15"/>
      <c r="C61" s="16"/>
      <c r="D61" s="17" t="str">
        <f t="shared" si="10"/>
        <v/>
      </c>
      <c r="E61" s="18" t="str">
        <f t="shared" si="11"/>
        <v/>
      </c>
      <c r="F61" s="19"/>
      <c r="G61" s="20" t="str">
        <f t="shared" si="12"/>
        <v/>
      </c>
      <c r="H61" s="21"/>
      <c r="I61" s="19"/>
      <c r="J61" s="20" t="str">
        <f t="shared" si="13"/>
        <v/>
      </c>
      <c r="K61" s="18" t="str">
        <f t="shared" si="14"/>
        <v/>
      </c>
      <c r="L61" s="22" t="str">
        <f t="shared" si="15"/>
        <v/>
      </c>
      <c r="M61" s="17" t="str">
        <f t="shared" si="16"/>
        <v/>
      </c>
      <c r="N61" s="14" t="str">
        <f t="shared" si="17"/>
        <v/>
      </c>
      <c r="O61" s="15"/>
      <c r="P61" s="2"/>
      <c r="Q61" s="11" t="str">
        <f t="shared" si="18"/>
        <v/>
      </c>
      <c r="R61" s="11" t="str">
        <f t="shared" si="19"/>
        <v/>
      </c>
      <c r="S61" s="2"/>
      <c r="T61" s="2"/>
      <c r="U61" s="2"/>
      <c r="V61" s="2"/>
      <c r="W61" s="2"/>
      <c r="X61" s="2"/>
    </row>
    <row r="62" spans="1:24">
      <c r="A62" s="14">
        <v>48</v>
      </c>
      <c r="B62" s="15"/>
      <c r="C62" s="16"/>
      <c r="D62" s="17" t="str">
        <f t="shared" si="10"/>
        <v/>
      </c>
      <c r="E62" s="18" t="str">
        <f t="shared" si="11"/>
        <v/>
      </c>
      <c r="F62" s="19"/>
      <c r="G62" s="20" t="str">
        <f t="shared" si="12"/>
        <v/>
      </c>
      <c r="H62" s="21"/>
      <c r="I62" s="19"/>
      <c r="J62" s="20" t="str">
        <f t="shared" si="13"/>
        <v/>
      </c>
      <c r="K62" s="18" t="str">
        <f t="shared" si="14"/>
        <v/>
      </c>
      <c r="L62" s="22" t="str">
        <f t="shared" si="15"/>
        <v/>
      </c>
      <c r="M62" s="17" t="str">
        <f t="shared" si="16"/>
        <v/>
      </c>
      <c r="N62" s="14" t="str">
        <f t="shared" si="17"/>
        <v/>
      </c>
      <c r="O62" s="15"/>
      <c r="P62" s="2"/>
      <c r="Q62" s="11" t="str">
        <f t="shared" si="18"/>
        <v/>
      </c>
      <c r="R62" s="11" t="str">
        <f t="shared" si="19"/>
        <v/>
      </c>
      <c r="S62" s="2"/>
      <c r="T62" s="2"/>
      <c r="U62" s="2"/>
      <c r="V62" s="2"/>
      <c r="W62" s="2"/>
      <c r="X62" s="2"/>
    </row>
    <row r="63" spans="1:24">
      <c r="A63" s="14">
        <v>49</v>
      </c>
      <c r="B63" s="15"/>
      <c r="C63" s="16"/>
      <c r="D63" s="17" t="str">
        <f t="shared" si="10"/>
        <v/>
      </c>
      <c r="E63" s="18" t="str">
        <f t="shared" si="11"/>
        <v/>
      </c>
      <c r="F63" s="19"/>
      <c r="G63" s="20" t="str">
        <f t="shared" si="12"/>
        <v/>
      </c>
      <c r="H63" s="21"/>
      <c r="I63" s="19"/>
      <c r="J63" s="20" t="str">
        <f t="shared" si="13"/>
        <v/>
      </c>
      <c r="K63" s="18" t="str">
        <f t="shared" si="14"/>
        <v/>
      </c>
      <c r="L63" s="22" t="str">
        <f t="shared" si="15"/>
        <v/>
      </c>
      <c r="M63" s="17" t="str">
        <f t="shared" si="16"/>
        <v/>
      </c>
      <c r="N63" s="14" t="str">
        <f t="shared" si="17"/>
        <v/>
      </c>
      <c r="O63" s="15"/>
      <c r="P63" s="2"/>
      <c r="Q63" s="11" t="str">
        <f t="shared" si="18"/>
        <v/>
      </c>
      <c r="R63" s="11" t="str">
        <f t="shared" si="19"/>
        <v/>
      </c>
      <c r="S63" s="2"/>
      <c r="T63" s="2"/>
      <c r="U63" s="2"/>
      <c r="V63" s="2"/>
      <c r="W63" s="2"/>
      <c r="X63" s="2"/>
    </row>
    <row r="64" spans="1:24">
      <c r="A64" s="14">
        <v>50</v>
      </c>
      <c r="B64" s="15"/>
      <c r="C64" s="16"/>
      <c r="D64" s="17" t="str">
        <f t="shared" si="10"/>
        <v/>
      </c>
      <c r="E64" s="18" t="str">
        <f t="shared" si="11"/>
        <v/>
      </c>
      <c r="F64" s="19"/>
      <c r="G64" s="20" t="str">
        <f t="shared" si="12"/>
        <v/>
      </c>
      <c r="H64" s="21"/>
      <c r="I64" s="19"/>
      <c r="J64" s="20" t="str">
        <f t="shared" si="13"/>
        <v/>
      </c>
      <c r="K64" s="18" t="str">
        <f t="shared" si="14"/>
        <v/>
      </c>
      <c r="L64" s="22" t="str">
        <f t="shared" si="15"/>
        <v/>
      </c>
      <c r="M64" s="17" t="str">
        <f t="shared" si="16"/>
        <v/>
      </c>
      <c r="N64" s="14" t="str">
        <f t="shared" si="17"/>
        <v/>
      </c>
      <c r="O64" s="15"/>
      <c r="P64" s="2"/>
      <c r="Q64" s="11" t="str">
        <f t="shared" si="18"/>
        <v/>
      </c>
      <c r="R64" s="11" t="str">
        <f t="shared" si="19"/>
        <v/>
      </c>
      <c r="S64" s="2"/>
      <c r="T64" s="2"/>
      <c r="U64" s="2"/>
      <c r="V64" s="2"/>
      <c r="W64" s="2"/>
      <c r="X64" s="2"/>
    </row>
  </sheetData>
  <mergeCells count="3">
    <mergeCell ref="A1:N1"/>
    <mergeCell ref="D3:H3"/>
    <mergeCell ref="D12:H12"/>
  </mergeCells>
  <phoneticPr fontId="6"/>
  <conditionalFormatting sqref="N15:N64">
    <cfRule type="expression" dxfId="15" priority="1">
      <formula>N15="ACCEPT"</formula>
    </cfRule>
    <cfRule type="expression" dxfId="14" priority="2">
      <formula>N15="UNDER"</formula>
    </cfRule>
    <cfRule type="expression" dxfId="13" priority="3">
      <formula>N15="OVER"</formula>
    </cfRule>
    <cfRule type="expression" dxfId="12" priority="4">
      <formula>N15="WRONG SIGN"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3.8"/>
  <cols>
    <col min="1" max="1" width="10" customWidth="1"/>
    <col min="2" max="2" width="85" customWidth="1"/>
  </cols>
  <sheetData>
    <row r="1" spans="1:8" ht="11.2" customHeight="1">
      <c r="A1" s="28" t="s">
        <v>40</v>
      </c>
      <c r="B1" s="28"/>
      <c r="C1" s="28"/>
      <c r="D1" s="28"/>
      <c r="E1" s="28"/>
      <c r="F1" s="28"/>
      <c r="G1" s="28"/>
      <c r="H1" s="28"/>
    </row>
    <row r="3" spans="1:8" ht="14.1">
      <c r="A3" s="23" t="s">
        <v>41</v>
      </c>
      <c r="B3" s="23" t="s">
        <v>42</v>
      </c>
      <c r="D3" s="29" t="s">
        <v>43</v>
      </c>
      <c r="E3" s="29"/>
      <c r="F3" s="29"/>
      <c r="G3" s="29"/>
    </row>
    <row r="4" spans="1:8" ht="14.1">
      <c r="A4" s="24" t="s">
        <v>44</v>
      </c>
      <c r="B4" s="2" t="s">
        <v>45</v>
      </c>
      <c r="D4" s="30" t="s">
        <v>46</v>
      </c>
      <c r="E4" s="30"/>
      <c r="F4" s="30"/>
      <c r="G4" s="30"/>
    </row>
    <row r="5" spans="1:8" ht="27.9">
      <c r="A5" s="24" t="s">
        <v>47</v>
      </c>
      <c r="B5" s="2" t="s">
        <v>48</v>
      </c>
      <c r="D5" s="30"/>
      <c r="E5" s="30"/>
      <c r="F5" s="30"/>
      <c r="G5" s="30"/>
    </row>
    <row r="6" spans="1:8" ht="27.9">
      <c r="A6" s="24" t="s">
        <v>49</v>
      </c>
      <c r="B6" s="2" t="s">
        <v>50</v>
      </c>
      <c r="D6" s="30"/>
      <c r="E6" s="30"/>
      <c r="F6" s="30"/>
      <c r="G6" s="30"/>
    </row>
    <row r="7" spans="1:8" ht="14.1">
      <c r="A7" s="24" t="s">
        <v>51</v>
      </c>
      <c r="B7" s="2" t="s">
        <v>52</v>
      </c>
      <c r="D7" s="30"/>
      <c r="E7" s="30"/>
      <c r="F7" s="30"/>
      <c r="G7" s="30"/>
    </row>
    <row r="8" spans="1:8" ht="14.1">
      <c r="A8" s="24" t="s">
        <v>53</v>
      </c>
      <c r="B8" s="2" t="s">
        <v>54</v>
      </c>
    </row>
    <row r="9" spans="1:8" ht="14.1">
      <c r="A9" s="24" t="s">
        <v>55</v>
      </c>
      <c r="B9" s="2" t="s">
        <v>56</v>
      </c>
    </row>
    <row r="10" spans="1:8" ht="27.9">
      <c r="A10" s="24" t="s">
        <v>57</v>
      </c>
      <c r="B10" s="2" t="s">
        <v>58</v>
      </c>
    </row>
  </sheetData>
  <mergeCells count="3">
    <mergeCell ref="A1:H1"/>
    <mergeCell ref="D3:G3"/>
    <mergeCell ref="D4:G7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Calibration_275</vt:lpstr>
      <vt:lpstr>Calibration_500</vt:lpstr>
      <vt:lpstr>Calibration_300</vt:lpstr>
      <vt:lpstr>Calibration_1000</vt:lpstr>
      <vt:lpstr>Calibration_2000</vt:lpstr>
      <vt:lpstr>Calibration_3000</vt:lpstr>
      <vt:lpstr>Calibration_6000</vt:lpstr>
      <vt:lpstr>Calibration_1500</vt:lpstr>
      <vt:lpstr>Calibration_-400</vt:lpstr>
      <vt:lpstr>Calibration_-300</vt:lpstr>
      <vt:lpstr>Calibration_-500</vt:lpstr>
      <vt:lpstr>Calibration_-1500</vt:lpstr>
      <vt:lpstr>Calibration_-1000</vt:lpstr>
      <vt:lpstr>Calibration_-2500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#SONG YICK QI#</cp:lastModifiedBy>
  <dcterms:modified xsi:type="dcterms:W3CDTF">2026-10-11T06:43:47Z</dcterms:modified>
</cp:coreProperties>
</file>