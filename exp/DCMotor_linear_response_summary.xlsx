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DP\exp\"/>
    </mc:Choice>
  </mc:AlternateContent>
  <xr:revisionPtr revIDLastSave="0" documentId="13_ncr:1_{8ACC041D-8DA1-4931-94F7-2A676089EFD6}" xr6:coauthVersionLast="47" xr6:coauthVersionMax="47" xr10:uidLastSave="{00000000-0000-0000-0000-000000000000}"/>
  <bookViews>
    <workbookView xWindow="-23136" yWindow="-96" windowWidth="23232" windowHeight="13872" xr2:uid="{00000000-000D-0000-FFFF-FFFF00000000}"/>
  </bookViews>
  <sheets>
    <sheet name="Summary" sheetId="1" r:id="rId1"/>
    <sheet name="Raw Data" sheetId="2" r:id="rId2"/>
    <sheet name="Fit Ch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3" l="1"/>
  <c r="G46" i="3" s="1"/>
  <c r="F45" i="3"/>
  <c r="G45" i="3" s="1"/>
  <c r="I44" i="3"/>
  <c r="H44" i="3"/>
  <c r="G44" i="3"/>
  <c r="F44" i="3"/>
  <c r="G43" i="3"/>
  <c r="I43" i="3" s="1"/>
  <c r="F43" i="3"/>
  <c r="G42" i="3"/>
  <c r="H42" i="3" s="1"/>
  <c r="F42" i="3"/>
  <c r="F41" i="3"/>
  <c r="G41" i="3" s="1"/>
  <c r="I40" i="3"/>
  <c r="H40" i="3"/>
  <c r="G40" i="3"/>
  <c r="F40" i="3"/>
  <c r="I39" i="3"/>
  <c r="H39" i="3"/>
  <c r="G39" i="3"/>
  <c r="F39" i="3"/>
  <c r="G38" i="3"/>
  <c r="H38" i="3" s="1"/>
  <c r="F38" i="3"/>
  <c r="F37" i="3"/>
  <c r="G37" i="3" s="1"/>
  <c r="I35" i="3"/>
  <c r="H35" i="3"/>
  <c r="G35" i="3"/>
  <c r="F35" i="3"/>
  <c r="I34" i="3"/>
  <c r="H34" i="3"/>
  <c r="G34" i="3"/>
  <c r="F34" i="3"/>
  <c r="G33" i="3"/>
  <c r="H33" i="3" s="1"/>
  <c r="F33" i="3"/>
  <c r="F32" i="3"/>
  <c r="G32" i="3" s="1"/>
  <c r="I31" i="3"/>
  <c r="H31" i="3"/>
  <c r="G31" i="3"/>
  <c r="F31" i="3"/>
  <c r="I30" i="3"/>
  <c r="H30" i="3"/>
  <c r="G30" i="3"/>
  <c r="F30" i="3"/>
  <c r="G29" i="3"/>
  <c r="I29" i="3" s="1"/>
  <c r="F29" i="3"/>
  <c r="F28" i="3"/>
  <c r="G28" i="3" s="1"/>
  <c r="I27" i="3"/>
  <c r="H27" i="3"/>
  <c r="G27" i="3"/>
  <c r="F27" i="3"/>
  <c r="I26" i="3"/>
  <c r="H26" i="3"/>
  <c r="G26" i="3"/>
  <c r="F26" i="3"/>
  <c r="G24" i="3"/>
  <c r="H24" i="3" s="1"/>
  <c r="F24" i="3"/>
  <c r="F23" i="3"/>
  <c r="G23" i="3" s="1"/>
  <c r="I22" i="3"/>
  <c r="H22" i="3"/>
  <c r="G22" i="3"/>
  <c r="F22" i="3"/>
  <c r="I21" i="3"/>
  <c r="H21" i="3"/>
  <c r="G21" i="3"/>
  <c r="F21" i="3"/>
  <c r="G20" i="3"/>
  <c r="I20" i="3" s="1"/>
  <c r="F20" i="3"/>
  <c r="F19" i="3"/>
  <c r="G19" i="3" s="1"/>
  <c r="I18" i="3"/>
  <c r="H18" i="3"/>
  <c r="G18" i="3"/>
  <c r="F18" i="3"/>
  <c r="I17" i="3"/>
  <c r="H17" i="3"/>
  <c r="G17" i="3"/>
  <c r="F17" i="3"/>
  <c r="G16" i="3"/>
  <c r="H16" i="3" s="1"/>
  <c r="F16" i="3"/>
  <c r="F15" i="3"/>
  <c r="G15" i="3" s="1"/>
  <c r="I13" i="3"/>
  <c r="H13" i="3"/>
  <c r="G13" i="3"/>
  <c r="F13" i="3"/>
  <c r="I12" i="3"/>
  <c r="H12" i="3"/>
  <c r="G12" i="3"/>
  <c r="F12" i="3"/>
  <c r="G11" i="3"/>
  <c r="H11" i="3" s="1"/>
  <c r="F11" i="3"/>
  <c r="F10" i="3"/>
  <c r="G10" i="3" s="1"/>
  <c r="I9" i="3"/>
  <c r="H9" i="3"/>
  <c r="G9" i="3"/>
  <c r="F9" i="3"/>
  <c r="I8" i="3"/>
  <c r="H8" i="3"/>
  <c r="G8" i="3"/>
  <c r="F8" i="3"/>
  <c r="G7" i="3"/>
  <c r="I7" i="3" s="1"/>
  <c r="F7" i="3"/>
  <c r="F6" i="3"/>
  <c r="G6" i="3" s="1"/>
  <c r="I5" i="3"/>
  <c r="H5" i="3"/>
  <c r="G5" i="3"/>
  <c r="F5" i="3"/>
  <c r="I4" i="3"/>
  <c r="H4" i="3"/>
  <c r="G4" i="3"/>
  <c r="F4" i="3"/>
  <c r="I28" i="3" l="1"/>
  <c r="H28" i="3"/>
  <c r="I41" i="3"/>
  <c r="H41" i="3"/>
  <c r="I15" i="3"/>
  <c r="H15" i="3"/>
  <c r="I10" i="3"/>
  <c r="H10" i="3"/>
  <c r="I23" i="3"/>
  <c r="H23" i="3"/>
  <c r="I37" i="3"/>
  <c r="H37" i="3"/>
  <c r="I6" i="3"/>
  <c r="H6" i="3"/>
  <c r="I19" i="3"/>
  <c r="H19" i="3"/>
  <c r="I45" i="3"/>
  <c r="H45" i="3"/>
  <c r="I32" i="3"/>
  <c r="H32" i="3"/>
  <c r="I46" i="3"/>
  <c r="H46" i="3"/>
  <c r="H7" i="3"/>
  <c r="H29" i="3"/>
  <c r="I11" i="3"/>
  <c r="I16" i="3"/>
  <c r="I24" i="3"/>
  <c r="I33" i="3"/>
  <c r="I42" i="3"/>
  <c r="H20" i="3"/>
  <c r="I38" i="3"/>
  <c r="H43" i="3"/>
</calcChain>
</file>

<file path=xl/sharedStrings.xml><?xml version="1.0" encoding="utf-8"?>
<sst xmlns="http://schemas.openxmlformats.org/spreadsheetml/2006/main" count="91" uniqueCount="46">
  <si>
    <t>DC Motor Open-Loop Linear Response Summary</t>
  </si>
  <si>
    <t>Prior calibration: 1 s encoder-count delta treated as CPS; linear fit uses PWM 55–100%.</t>
  </si>
  <si>
    <t>Wheel</t>
  </si>
  <si>
    <t>Direction</t>
  </si>
  <si>
    <t>Slope k (CPS/%PWM)</t>
  </si>
  <si>
    <t>Offset P₀ (%PWM)</t>
  </si>
  <si>
    <t>R²</t>
  </si>
  <si>
    <t>Start PWM (%)</t>
  </si>
  <si>
    <t>Run PWM (%)</t>
  </si>
  <si>
    <t>Model</t>
  </si>
  <si>
    <t>Left</t>
  </si>
  <si>
    <t>Forward</t>
  </si>
  <si>
    <t>v ≈ 203.88(P − 53.03)</t>
  </si>
  <si>
    <t>Reverse</t>
  </si>
  <si>
    <t>v ≈ 191.88(P − 53.44)</t>
  </si>
  <si>
    <t>Right</t>
  </si>
  <si>
    <t>v ≈ 192.56(P − 53.37)</t>
  </si>
  <si>
    <t>v ≈ 198.32(P − 53.49)</t>
  </si>
  <si>
    <t>Feed-forward inverse</t>
  </si>
  <si>
    <t>For target speed magnitude |v|:  P ≈ P₀ + |v|/k. Apply direction/sign separately.</t>
  </si>
  <si>
    <t>Key observations</t>
  </si>
  <si>
    <t>• Response is extremely linear once moving (R² &gt; 0.9999 for all four cases).</t>
  </si>
  <si>
    <t>• Effective dead-zone offsets cluster near 53.0–53.5% PWM.</t>
  </si>
  <si>
    <t>• Forward/reverse and left/right slopes differ, supporting per-wheel directional calibration.</t>
  </si>
  <si>
    <t>• 50% PWM produced no motion; 55% produced low but nonzero CPS.</t>
  </si>
  <si>
    <t>• Start PWM is slightly above run PWM to overcome static-friction hysteresis.</t>
  </si>
  <si>
    <t>Measured PWM → Encoder Speed (CPS)</t>
  </si>
  <si>
    <t>PWM (%)</t>
  </si>
  <si>
    <t>Left Forward</t>
  </si>
  <si>
    <t>Left Reverse</t>
  </si>
  <si>
    <t>Right Forward</t>
  </si>
  <si>
    <t>Right Reverse</t>
  </si>
  <si>
    <t>Fit range</t>
  </si>
  <si>
    <t>55–100% PWM</t>
  </si>
  <si>
    <t>Method</t>
  </si>
  <si>
    <t>1 s encoder delta = CPS</t>
  </si>
  <si>
    <t>Linear-fit verification (PWM 55–100%)</t>
  </si>
  <si>
    <t>Case</t>
  </si>
  <si>
    <t>Measured CPS</t>
  </si>
  <si>
    <t>Slope k</t>
  </si>
  <si>
    <t>Offset P₀</t>
  </si>
  <si>
    <t>Predicted CPS</t>
  </si>
  <si>
    <t>Residual CPS</t>
  </si>
  <si>
    <t>Abs. Error</t>
  </si>
  <si>
    <t>Squared Error</t>
  </si>
  <si>
    <t>Note: All data was measured when VIN was close to 12.1V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</si>
</sst>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6"/>
      <name val="HGGothicE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Open-loop motor response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Left Forward</c:v>
          </c:tx>
          <c:marker>
            <c:symbol val="none"/>
          </c:marker>
          <c:cat>
            <c:numRef>
              <c:f>'Raw Data'!$A$4:$A$16</c:f>
              <c:numCache>
                <c:formatCode>General</c:formatCode>
                <c:ptCount val="13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</c:numCache>
            </c:numRef>
          </c:cat>
          <c:val>
            <c:numRef>
              <c:f>'Raw Data'!$B$4:$B$16</c:f>
              <c:numCache>
                <c:formatCode>General</c:formatCode>
                <c:ptCount val="13"/>
                <c:pt idx="0">
                  <c:v>9566</c:v>
                </c:pt>
                <c:pt idx="1">
                  <c:v>8506</c:v>
                </c:pt>
                <c:pt idx="2">
                  <c:v>7566</c:v>
                </c:pt>
                <c:pt idx="3">
                  <c:v>6564</c:v>
                </c:pt>
                <c:pt idx="4">
                  <c:v>5511</c:v>
                </c:pt>
                <c:pt idx="5">
                  <c:v>4496</c:v>
                </c:pt>
                <c:pt idx="6">
                  <c:v>3450</c:v>
                </c:pt>
                <c:pt idx="7">
                  <c:v>2418</c:v>
                </c:pt>
                <c:pt idx="8">
                  <c:v>1387</c:v>
                </c:pt>
                <c:pt idx="9">
                  <c:v>425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83-41A5-A188-95720A1157AE}"/>
            </c:ext>
          </c:extLst>
        </c:ser>
        <c:ser>
          <c:idx val="1"/>
          <c:order val="1"/>
          <c:tx>
            <c:v>Left Reverse</c:v>
          </c:tx>
          <c:marker>
            <c:symbol val="none"/>
          </c:marker>
          <c:cat>
            <c:numRef>
              <c:f>'Raw Data'!$A$4:$A$16</c:f>
              <c:numCache>
                <c:formatCode>General</c:formatCode>
                <c:ptCount val="13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</c:numCache>
            </c:numRef>
          </c:cat>
          <c:val>
            <c:numRef>
              <c:f>'Raw Data'!$C$4:$C$16</c:f>
              <c:numCache>
                <c:formatCode>General</c:formatCode>
                <c:ptCount val="13"/>
                <c:pt idx="0">
                  <c:v>8967</c:v>
                </c:pt>
                <c:pt idx="1">
                  <c:v>7951</c:v>
                </c:pt>
                <c:pt idx="2">
                  <c:v>6999</c:v>
                </c:pt>
                <c:pt idx="3">
                  <c:v>6054</c:v>
                </c:pt>
                <c:pt idx="4">
                  <c:v>5091</c:v>
                </c:pt>
                <c:pt idx="5">
                  <c:v>4143</c:v>
                </c:pt>
                <c:pt idx="6">
                  <c:v>3181</c:v>
                </c:pt>
                <c:pt idx="7">
                  <c:v>2218</c:v>
                </c:pt>
                <c:pt idx="8">
                  <c:v>1262</c:v>
                </c:pt>
                <c:pt idx="9">
                  <c:v>300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83-41A5-A188-95720A1157AE}"/>
            </c:ext>
          </c:extLst>
        </c:ser>
        <c:ser>
          <c:idx val="2"/>
          <c:order val="2"/>
          <c:tx>
            <c:v>Right Forward</c:v>
          </c:tx>
          <c:marker>
            <c:symbol val="none"/>
          </c:marker>
          <c:cat>
            <c:numRef>
              <c:f>'Raw Data'!$A$4:$A$16</c:f>
              <c:numCache>
                <c:formatCode>General</c:formatCode>
                <c:ptCount val="13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</c:numCache>
            </c:numRef>
          </c:cat>
          <c:val>
            <c:numRef>
              <c:f>'Raw Data'!$D$4:$D$16</c:f>
              <c:numCache>
                <c:formatCode>General</c:formatCode>
                <c:ptCount val="13"/>
                <c:pt idx="0">
                  <c:v>8986</c:v>
                </c:pt>
                <c:pt idx="1">
                  <c:v>8020</c:v>
                </c:pt>
                <c:pt idx="2">
                  <c:v>7060</c:v>
                </c:pt>
                <c:pt idx="3">
                  <c:v>6098</c:v>
                </c:pt>
                <c:pt idx="4">
                  <c:v>5130</c:v>
                </c:pt>
                <c:pt idx="5">
                  <c:v>4157</c:v>
                </c:pt>
                <c:pt idx="6">
                  <c:v>3182</c:v>
                </c:pt>
                <c:pt idx="7">
                  <c:v>2207</c:v>
                </c:pt>
                <c:pt idx="8">
                  <c:v>1245</c:v>
                </c:pt>
                <c:pt idx="9">
                  <c:v>380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83-41A5-A188-95720A1157AE}"/>
            </c:ext>
          </c:extLst>
        </c:ser>
        <c:ser>
          <c:idx val="3"/>
          <c:order val="3"/>
          <c:tx>
            <c:v>Right Reverse</c:v>
          </c:tx>
          <c:marker>
            <c:symbol val="none"/>
          </c:marker>
          <c:cat>
            <c:numRef>
              <c:f>'Raw Data'!$A$4:$A$16</c:f>
              <c:numCache>
                <c:formatCode>General</c:formatCode>
                <c:ptCount val="13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</c:numCache>
            </c:numRef>
          </c:cat>
          <c:val>
            <c:numRef>
              <c:f>'Raw Data'!$E$4:$E$16</c:f>
              <c:numCache>
                <c:formatCode>General</c:formatCode>
                <c:ptCount val="13"/>
                <c:pt idx="0">
                  <c:v>9194</c:v>
                </c:pt>
                <c:pt idx="1">
                  <c:v>8255</c:v>
                </c:pt>
                <c:pt idx="2">
                  <c:v>7256</c:v>
                </c:pt>
                <c:pt idx="3">
                  <c:v>6265</c:v>
                </c:pt>
                <c:pt idx="4">
                  <c:v>5268</c:v>
                </c:pt>
                <c:pt idx="5">
                  <c:v>4261</c:v>
                </c:pt>
                <c:pt idx="6">
                  <c:v>3259</c:v>
                </c:pt>
                <c:pt idx="7">
                  <c:v>2257</c:v>
                </c:pt>
                <c:pt idx="8">
                  <c:v>1264</c:v>
                </c:pt>
                <c:pt idx="9">
                  <c:v>343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83-41A5-A188-95720A115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4" sqref="H4"/>
    </sheetView>
  </sheetViews>
  <sheetFormatPr defaultRowHeight="14.15"/>
  <cols>
    <col min="1" max="7" width="17" customWidth="1"/>
    <col min="8" max="8" width="28" customWidth="1"/>
  </cols>
  <sheetData>
    <row r="1" spans="1:8" ht="17.600000000000001">
      <c r="A1" s="7" t="s">
        <v>0</v>
      </c>
      <c r="B1" s="7"/>
      <c r="C1" s="7"/>
      <c r="D1" s="7"/>
      <c r="E1" s="7"/>
      <c r="F1" s="7"/>
      <c r="G1" s="7"/>
      <c r="H1" s="7"/>
    </row>
    <row r="2" spans="1:8">
      <c r="A2" s="8" t="s">
        <v>1</v>
      </c>
      <c r="B2" s="8"/>
      <c r="C2" s="8"/>
      <c r="D2" s="8"/>
      <c r="E2" s="8"/>
      <c r="F2" s="8"/>
      <c r="G2" s="8"/>
      <c r="H2" s="8"/>
    </row>
    <row r="3" spans="1:8">
      <c r="A3" s="11" t="s">
        <v>45</v>
      </c>
      <c r="B3" s="11"/>
      <c r="C3" s="11"/>
      <c r="D3" s="11"/>
      <c r="E3" s="11"/>
      <c r="F3" s="11"/>
      <c r="G3" s="11"/>
      <c r="H3" s="11"/>
    </row>
    <row r="4" spans="1:8" ht="28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3" t="s">
        <v>10</v>
      </c>
      <c r="B5" s="3" t="s">
        <v>11</v>
      </c>
      <c r="C5" s="4">
        <v>203.87757575757581</v>
      </c>
      <c r="D5" s="4">
        <v>53.029922888958914</v>
      </c>
      <c r="E5" s="5">
        <v>0.99990254085561792</v>
      </c>
      <c r="F5" s="6">
        <v>55</v>
      </c>
      <c r="G5" s="6">
        <v>54</v>
      </c>
      <c r="H5" s="3" t="s">
        <v>12</v>
      </c>
    </row>
    <row r="6" spans="1:8">
      <c r="A6" s="3" t="s">
        <v>10</v>
      </c>
      <c r="B6" s="3" t="s">
        <v>13</v>
      </c>
      <c r="C6" s="4">
        <v>191.87636363636372</v>
      </c>
      <c r="D6" s="4">
        <v>53.439714967971803</v>
      </c>
      <c r="E6" s="5">
        <v>0.99997367691449113</v>
      </c>
      <c r="F6" s="6">
        <v>56</v>
      </c>
      <c r="G6" s="6">
        <v>55</v>
      </c>
      <c r="H6" s="3" t="s">
        <v>14</v>
      </c>
    </row>
    <row r="7" spans="1:8">
      <c r="A7" s="3" t="s">
        <v>15</v>
      </c>
      <c r="B7" s="3" t="s">
        <v>11</v>
      </c>
      <c r="C7" s="4">
        <v>192.56363636363645</v>
      </c>
      <c r="D7" s="4">
        <v>53.370314417902009</v>
      </c>
      <c r="E7" s="5">
        <v>0.99990757444211631</v>
      </c>
      <c r="F7" s="6">
        <v>56</v>
      </c>
      <c r="G7" s="6">
        <v>54</v>
      </c>
      <c r="H7" s="3" t="s">
        <v>16</v>
      </c>
    </row>
    <row r="8" spans="1:8">
      <c r="A8" s="3" t="s">
        <v>15</v>
      </c>
      <c r="B8" s="3" t="s">
        <v>13</v>
      </c>
      <c r="C8" s="4">
        <v>198.32242424242432</v>
      </c>
      <c r="D8" s="4">
        <v>53.487586788578149</v>
      </c>
      <c r="E8" s="5">
        <v>0.99993159905219953</v>
      </c>
      <c r="F8" s="6">
        <v>56</v>
      </c>
      <c r="G8" s="6">
        <v>55</v>
      </c>
      <c r="H8" s="3" t="s">
        <v>17</v>
      </c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9" t="s">
        <v>18</v>
      </c>
      <c r="B10" s="9"/>
      <c r="C10" s="9"/>
      <c r="D10" s="9"/>
      <c r="E10" s="9"/>
      <c r="F10" s="9"/>
      <c r="G10" s="9"/>
      <c r="H10" s="9"/>
    </row>
    <row r="11" spans="1:8">
      <c r="A11" s="8" t="s">
        <v>19</v>
      </c>
      <c r="B11" s="8"/>
      <c r="C11" s="8"/>
      <c r="D11" s="8"/>
      <c r="E11" s="8"/>
      <c r="F11" s="8"/>
      <c r="G11" s="8"/>
      <c r="H11" s="8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9" t="s">
        <v>20</v>
      </c>
      <c r="B13" s="9"/>
      <c r="C13" s="9"/>
      <c r="D13" s="9"/>
      <c r="E13" s="9"/>
      <c r="F13" s="9"/>
      <c r="G13" s="9"/>
      <c r="H13" s="9"/>
    </row>
    <row r="14" spans="1:8">
      <c r="A14" s="8" t="s">
        <v>21</v>
      </c>
      <c r="B14" s="8"/>
      <c r="C14" s="8"/>
      <c r="D14" s="8"/>
      <c r="E14" s="8"/>
      <c r="F14" s="8"/>
      <c r="G14" s="8"/>
      <c r="H14" s="8"/>
    </row>
    <row r="15" spans="1:8">
      <c r="A15" s="8" t="s">
        <v>22</v>
      </c>
      <c r="B15" s="8"/>
      <c r="C15" s="8"/>
      <c r="D15" s="8"/>
      <c r="E15" s="8"/>
      <c r="F15" s="8"/>
      <c r="G15" s="8"/>
      <c r="H15" s="8"/>
    </row>
    <row r="16" spans="1:8">
      <c r="A16" s="8" t="s">
        <v>23</v>
      </c>
      <c r="B16" s="8"/>
      <c r="C16" s="8"/>
      <c r="D16" s="8"/>
      <c r="E16" s="8"/>
      <c r="F16" s="8"/>
      <c r="G16" s="8"/>
      <c r="H16" s="8"/>
    </row>
    <row r="17" spans="1:8">
      <c r="A17" s="8" t="s">
        <v>24</v>
      </c>
      <c r="B17" s="8"/>
      <c r="C17" s="8"/>
      <c r="D17" s="8"/>
      <c r="E17" s="8"/>
      <c r="F17" s="8"/>
      <c r="G17" s="8"/>
      <c r="H17" s="8"/>
    </row>
    <row r="18" spans="1:8">
      <c r="A18" s="8" t="s">
        <v>25</v>
      </c>
      <c r="B18" s="8"/>
      <c r="C18" s="8"/>
      <c r="D18" s="8"/>
      <c r="E18" s="8"/>
      <c r="F18" s="8"/>
      <c r="G18" s="8"/>
      <c r="H18" s="8"/>
    </row>
  </sheetData>
  <mergeCells count="11">
    <mergeCell ref="A14:H14"/>
    <mergeCell ref="A15:H15"/>
    <mergeCell ref="A16:H16"/>
    <mergeCell ref="A17:H17"/>
    <mergeCell ref="A18:H18"/>
    <mergeCell ref="A1:H1"/>
    <mergeCell ref="A2:H2"/>
    <mergeCell ref="A10:H10"/>
    <mergeCell ref="A11:H11"/>
    <mergeCell ref="A13:H13"/>
    <mergeCell ref="A3:H3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E1"/>
    </sheetView>
  </sheetViews>
  <sheetFormatPr defaultRowHeight="14.15"/>
  <cols>
    <col min="1" max="5" width="16" customWidth="1"/>
    <col min="7" max="8" width="18" customWidth="1"/>
  </cols>
  <sheetData>
    <row r="1" spans="1:8" ht="17.600000000000001">
      <c r="A1" s="10" t="s">
        <v>26</v>
      </c>
      <c r="B1" s="10"/>
      <c r="C1" s="10"/>
      <c r="D1" s="10"/>
      <c r="E1" s="10"/>
    </row>
    <row r="3" spans="1:8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G3" t="s">
        <v>32</v>
      </c>
      <c r="H3" t="s">
        <v>33</v>
      </c>
    </row>
    <row r="4" spans="1:8">
      <c r="A4">
        <v>100</v>
      </c>
      <c r="B4">
        <v>9566</v>
      </c>
      <c r="C4">
        <v>8967</v>
      </c>
      <c r="D4">
        <v>8986</v>
      </c>
      <c r="E4">
        <v>9194</v>
      </c>
      <c r="G4" t="s">
        <v>34</v>
      </c>
      <c r="H4" t="s">
        <v>35</v>
      </c>
    </row>
    <row r="5" spans="1:8">
      <c r="A5">
        <v>95</v>
      </c>
      <c r="B5">
        <v>8506</v>
      </c>
      <c r="C5">
        <v>7951</v>
      </c>
      <c r="D5">
        <v>8020</v>
      </c>
      <c r="E5">
        <v>8255</v>
      </c>
    </row>
    <row r="6" spans="1:8">
      <c r="A6">
        <v>90</v>
      </c>
      <c r="B6">
        <v>7566</v>
      </c>
      <c r="C6">
        <v>6999</v>
      </c>
      <c r="D6">
        <v>7060</v>
      </c>
      <c r="E6">
        <v>7256</v>
      </c>
    </row>
    <row r="7" spans="1:8">
      <c r="A7">
        <v>85</v>
      </c>
      <c r="B7">
        <v>6564</v>
      </c>
      <c r="C7">
        <v>6054</v>
      </c>
      <c r="D7">
        <v>6098</v>
      </c>
      <c r="E7">
        <v>6265</v>
      </c>
    </row>
    <row r="8" spans="1:8">
      <c r="A8">
        <v>80</v>
      </c>
      <c r="B8">
        <v>5511</v>
      </c>
      <c r="C8">
        <v>5091</v>
      </c>
      <c r="D8">
        <v>5130</v>
      </c>
      <c r="E8">
        <v>5268</v>
      </c>
    </row>
    <row r="9" spans="1:8">
      <c r="A9">
        <v>75</v>
      </c>
      <c r="B9">
        <v>4496</v>
      </c>
      <c r="C9">
        <v>4143</v>
      </c>
      <c r="D9">
        <v>4157</v>
      </c>
      <c r="E9">
        <v>4261</v>
      </c>
    </row>
    <row r="10" spans="1:8">
      <c r="A10">
        <v>70</v>
      </c>
      <c r="B10">
        <v>3450</v>
      </c>
      <c r="C10">
        <v>3181</v>
      </c>
      <c r="D10">
        <v>3182</v>
      </c>
      <c r="E10">
        <v>3259</v>
      </c>
    </row>
    <row r="11" spans="1:8">
      <c r="A11">
        <v>65</v>
      </c>
      <c r="B11">
        <v>2418</v>
      </c>
      <c r="C11">
        <v>2218</v>
      </c>
      <c r="D11">
        <v>2207</v>
      </c>
      <c r="E11">
        <v>2257</v>
      </c>
    </row>
    <row r="12" spans="1:8">
      <c r="A12">
        <v>60</v>
      </c>
      <c r="B12">
        <v>1387</v>
      </c>
      <c r="C12">
        <v>1262</v>
      </c>
      <c r="D12">
        <v>1245</v>
      </c>
      <c r="E12">
        <v>1264</v>
      </c>
    </row>
    <row r="13" spans="1:8">
      <c r="A13">
        <v>55</v>
      </c>
      <c r="B13">
        <v>425</v>
      </c>
      <c r="C13">
        <v>300</v>
      </c>
      <c r="D13">
        <v>380</v>
      </c>
      <c r="E13">
        <v>343</v>
      </c>
    </row>
    <row r="14" spans="1:8">
      <c r="A14">
        <v>50</v>
      </c>
      <c r="B14">
        <v>0</v>
      </c>
      <c r="C14">
        <v>0</v>
      </c>
      <c r="D14">
        <v>0</v>
      </c>
      <c r="E14">
        <v>0</v>
      </c>
    </row>
    <row r="15" spans="1:8">
      <c r="A15">
        <v>45</v>
      </c>
      <c r="B15">
        <v>0</v>
      </c>
      <c r="C15">
        <v>1</v>
      </c>
      <c r="D15">
        <v>0</v>
      </c>
      <c r="E15">
        <v>0</v>
      </c>
    </row>
    <row r="16" spans="1:8">
      <c r="A16">
        <v>40</v>
      </c>
      <c r="B16">
        <v>0</v>
      </c>
      <c r="C16">
        <v>0</v>
      </c>
      <c r="D16">
        <v>0</v>
      </c>
      <c r="E16">
        <v>0</v>
      </c>
    </row>
  </sheetData>
  <mergeCells count="1">
    <mergeCell ref="A1:E1"/>
  </mergeCells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opLeftCell="A6" workbookViewId="0">
      <selection sqref="A1:I1"/>
    </sheetView>
  </sheetViews>
  <sheetFormatPr defaultRowHeight="14.15"/>
  <cols>
    <col min="1" max="1" width="20" customWidth="1"/>
    <col min="2" max="9" width="15" customWidth="1"/>
  </cols>
  <sheetData>
    <row r="1" spans="1:9" ht="17.600000000000001">
      <c r="A1" s="10" t="s">
        <v>36</v>
      </c>
      <c r="B1" s="10"/>
      <c r="C1" s="10"/>
      <c r="D1" s="10"/>
      <c r="E1" s="10"/>
      <c r="F1" s="10"/>
      <c r="G1" s="10"/>
      <c r="H1" s="10"/>
      <c r="I1" s="10"/>
    </row>
    <row r="3" spans="1:9">
      <c r="A3" s="1" t="s">
        <v>37</v>
      </c>
      <c r="B3" s="1" t="s">
        <v>27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</row>
    <row r="4" spans="1:9">
      <c r="A4" t="s">
        <v>28</v>
      </c>
      <c r="B4">
        <v>100</v>
      </c>
      <c r="C4" s="2">
        <v>9566</v>
      </c>
      <c r="D4" s="2">
        <v>203.87757575757581</v>
      </c>
      <c r="E4" s="2">
        <v>53.029922888958914</v>
      </c>
      <c r="F4" s="2">
        <f t="shared" ref="F4:F13" si="0">D4*(B4-E4)</f>
        <v>9576.1454545454562</v>
      </c>
      <c r="G4" s="2">
        <f t="shared" ref="G4:G13" si="1">C4-F4</f>
        <v>-10.145454545456232</v>
      </c>
      <c r="H4" s="2">
        <f t="shared" ref="H4:H13" si="2">ABS(G4)</f>
        <v>10.145454545456232</v>
      </c>
      <c r="I4" s="2">
        <f t="shared" ref="I4:I13" si="3">G4^2</f>
        <v>102.93024793391852</v>
      </c>
    </row>
    <row r="5" spans="1:9">
      <c r="A5" t="s">
        <v>28</v>
      </c>
      <c r="B5">
        <v>95</v>
      </c>
      <c r="C5" s="2">
        <v>8506</v>
      </c>
      <c r="D5" s="2">
        <v>203.87757575757581</v>
      </c>
      <c r="E5" s="2">
        <v>53.029922888958914</v>
      </c>
      <c r="F5" s="2">
        <f t="shared" si="0"/>
        <v>8556.7575757575778</v>
      </c>
      <c r="G5" s="2">
        <f t="shared" si="1"/>
        <v>-50.757575757577797</v>
      </c>
      <c r="H5" s="2">
        <f t="shared" si="2"/>
        <v>50.757575757577797</v>
      </c>
      <c r="I5" s="2">
        <f t="shared" si="3"/>
        <v>2576.3314967862493</v>
      </c>
    </row>
    <row r="6" spans="1:9">
      <c r="A6" t="s">
        <v>28</v>
      </c>
      <c r="B6">
        <v>90</v>
      </c>
      <c r="C6" s="2">
        <v>7566</v>
      </c>
      <c r="D6" s="2">
        <v>203.87757575757581</v>
      </c>
      <c r="E6" s="2">
        <v>53.029922888958914</v>
      </c>
      <c r="F6" s="2">
        <f t="shared" si="0"/>
        <v>7537.3696969696985</v>
      </c>
      <c r="G6" s="2">
        <f t="shared" si="1"/>
        <v>28.630303030301548</v>
      </c>
      <c r="H6" s="2">
        <f t="shared" si="2"/>
        <v>28.630303030301548</v>
      </c>
      <c r="I6" s="2">
        <f t="shared" si="3"/>
        <v>819.694251606894</v>
      </c>
    </row>
    <row r="7" spans="1:9">
      <c r="A7" t="s">
        <v>28</v>
      </c>
      <c r="B7">
        <v>85</v>
      </c>
      <c r="C7" s="2">
        <v>6564</v>
      </c>
      <c r="D7" s="2">
        <v>203.87757575757581</v>
      </c>
      <c r="E7" s="2">
        <v>53.029922888958914</v>
      </c>
      <c r="F7" s="2">
        <f t="shared" si="0"/>
        <v>6517.9818181818191</v>
      </c>
      <c r="G7" s="2">
        <f t="shared" si="1"/>
        <v>46.018181818180892</v>
      </c>
      <c r="H7" s="2">
        <f t="shared" si="2"/>
        <v>46.018181818180892</v>
      </c>
      <c r="I7" s="2">
        <f t="shared" si="3"/>
        <v>2117.6730578511542</v>
      </c>
    </row>
    <row r="8" spans="1:9">
      <c r="A8" t="s">
        <v>28</v>
      </c>
      <c r="B8">
        <v>80</v>
      </c>
      <c r="C8" s="2">
        <v>5511</v>
      </c>
      <c r="D8" s="2">
        <v>203.87757575757581</v>
      </c>
      <c r="E8" s="2">
        <v>53.029922888958914</v>
      </c>
      <c r="F8" s="2">
        <f t="shared" si="0"/>
        <v>5498.5939393939407</v>
      </c>
      <c r="G8" s="2">
        <f t="shared" si="1"/>
        <v>12.406060606059327</v>
      </c>
      <c r="H8" s="2">
        <f t="shared" si="2"/>
        <v>12.406060606059327</v>
      </c>
      <c r="I8" s="2">
        <f t="shared" si="3"/>
        <v>153.91033976121713</v>
      </c>
    </row>
    <row r="9" spans="1:9">
      <c r="A9" t="s">
        <v>28</v>
      </c>
      <c r="B9">
        <v>75</v>
      </c>
      <c r="C9" s="2">
        <v>4496</v>
      </c>
      <c r="D9" s="2">
        <v>203.87757575757581</v>
      </c>
      <c r="E9" s="2">
        <v>53.029922888958914</v>
      </c>
      <c r="F9" s="2">
        <f t="shared" si="0"/>
        <v>4479.2060606060613</v>
      </c>
      <c r="G9" s="2">
        <f t="shared" si="1"/>
        <v>16.793939393938672</v>
      </c>
      <c r="H9" s="2">
        <f t="shared" si="2"/>
        <v>16.793939393938672</v>
      </c>
      <c r="I9" s="2">
        <f t="shared" si="3"/>
        <v>282.03640036728518</v>
      </c>
    </row>
    <row r="10" spans="1:9">
      <c r="A10" t="s">
        <v>28</v>
      </c>
      <c r="B10">
        <v>70</v>
      </c>
      <c r="C10" s="2">
        <v>3450</v>
      </c>
      <c r="D10" s="2">
        <v>203.87757575757581</v>
      </c>
      <c r="E10" s="2">
        <v>53.029922888958914</v>
      </c>
      <c r="F10" s="2">
        <f t="shared" si="0"/>
        <v>3459.818181818182</v>
      </c>
      <c r="G10" s="2">
        <f t="shared" si="1"/>
        <v>-9.8181818181819835</v>
      </c>
      <c r="H10" s="2">
        <f t="shared" si="2"/>
        <v>9.8181818181819835</v>
      </c>
      <c r="I10" s="2">
        <f t="shared" si="3"/>
        <v>96.396694214879275</v>
      </c>
    </row>
    <row r="11" spans="1:9">
      <c r="A11" t="s">
        <v>28</v>
      </c>
      <c r="B11">
        <v>65</v>
      </c>
      <c r="C11" s="2">
        <v>2418</v>
      </c>
      <c r="D11" s="2">
        <v>203.87757575757581</v>
      </c>
      <c r="E11" s="2">
        <v>53.029922888958914</v>
      </c>
      <c r="F11" s="2">
        <f t="shared" si="0"/>
        <v>2440.4303030303031</v>
      </c>
      <c r="G11" s="2">
        <f t="shared" si="1"/>
        <v>-22.430303030303094</v>
      </c>
      <c r="H11" s="2">
        <f t="shared" si="2"/>
        <v>22.430303030303094</v>
      </c>
      <c r="I11" s="2">
        <f t="shared" si="3"/>
        <v>503.11849403122415</v>
      </c>
    </row>
    <row r="12" spans="1:9">
      <c r="A12" t="s">
        <v>28</v>
      </c>
      <c r="B12">
        <v>60</v>
      </c>
      <c r="C12" s="2">
        <v>1387</v>
      </c>
      <c r="D12" s="2">
        <v>203.87757575757581</v>
      </c>
      <c r="E12" s="2">
        <v>53.029922888958914</v>
      </c>
      <c r="F12" s="2">
        <f t="shared" si="0"/>
        <v>1421.042424242424</v>
      </c>
      <c r="G12" s="2">
        <f t="shared" si="1"/>
        <v>-34.042424242423976</v>
      </c>
      <c r="H12" s="2">
        <f t="shared" si="2"/>
        <v>34.042424242423976</v>
      </c>
      <c r="I12" s="2">
        <f t="shared" si="3"/>
        <v>1158.8866483011757</v>
      </c>
    </row>
    <row r="13" spans="1:9">
      <c r="A13" t="s">
        <v>28</v>
      </c>
      <c r="B13">
        <v>55</v>
      </c>
      <c r="C13" s="2">
        <v>425</v>
      </c>
      <c r="D13" s="2">
        <v>203.87757575757581</v>
      </c>
      <c r="E13" s="2">
        <v>53.029922888958914</v>
      </c>
      <c r="F13" s="2">
        <f t="shared" si="0"/>
        <v>401.65454545454503</v>
      </c>
      <c r="G13" s="2">
        <f t="shared" si="1"/>
        <v>23.34545454545497</v>
      </c>
      <c r="H13" s="2">
        <f t="shared" si="2"/>
        <v>23.34545454545497</v>
      </c>
      <c r="I13" s="2">
        <f t="shared" si="3"/>
        <v>545.01024793390411</v>
      </c>
    </row>
    <row r="14" spans="1:9">
      <c r="C14" s="2"/>
      <c r="D14" s="2"/>
      <c r="E14" s="2"/>
      <c r="F14" s="2"/>
      <c r="G14" s="2"/>
      <c r="H14" s="2"/>
      <c r="I14" s="2"/>
    </row>
    <row r="15" spans="1:9">
      <c r="A15" t="s">
        <v>29</v>
      </c>
      <c r="B15">
        <v>100</v>
      </c>
      <c r="C15" s="2">
        <v>8967</v>
      </c>
      <c r="D15" s="2">
        <v>191.87636363636372</v>
      </c>
      <c r="E15" s="2">
        <v>53.439714967971803</v>
      </c>
      <c r="F15" s="2">
        <f t="shared" ref="F15:F24" si="4">D15*(B15-E15)</f>
        <v>8933.8181818181856</v>
      </c>
      <c r="G15" s="2">
        <f t="shared" ref="G15:G24" si="5">C15-F15</f>
        <v>33.181818181814378</v>
      </c>
      <c r="H15" s="2">
        <f t="shared" ref="H15:H24" si="6">ABS(G15)</f>
        <v>33.181818181814378</v>
      </c>
      <c r="I15" s="2">
        <f t="shared" ref="I15:I24" si="7">G15^2</f>
        <v>1101.0330578509872</v>
      </c>
    </row>
    <row r="16" spans="1:9">
      <c r="A16" t="s">
        <v>29</v>
      </c>
      <c r="B16">
        <v>95</v>
      </c>
      <c r="C16" s="2">
        <v>7951</v>
      </c>
      <c r="D16" s="2">
        <v>191.87636363636372</v>
      </c>
      <c r="E16" s="2">
        <v>53.439714967971803</v>
      </c>
      <c r="F16" s="2">
        <f t="shared" si="4"/>
        <v>7974.4363636363669</v>
      </c>
      <c r="G16" s="2">
        <f t="shared" si="5"/>
        <v>-23.436363636366877</v>
      </c>
      <c r="H16" s="2">
        <f t="shared" si="6"/>
        <v>23.436363636366877</v>
      </c>
      <c r="I16" s="2">
        <f t="shared" si="7"/>
        <v>549.26314049601967</v>
      </c>
    </row>
    <row r="17" spans="1:9">
      <c r="A17" t="s">
        <v>29</v>
      </c>
      <c r="B17">
        <v>90</v>
      </c>
      <c r="C17" s="2">
        <v>6999</v>
      </c>
      <c r="D17" s="2">
        <v>191.87636363636372</v>
      </c>
      <c r="E17" s="2">
        <v>53.439714967971803</v>
      </c>
      <c r="F17" s="2">
        <f t="shared" si="4"/>
        <v>7015.0545454545481</v>
      </c>
      <c r="G17" s="2">
        <f t="shared" si="5"/>
        <v>-16.054545454548133</v>
      </c>
      <c r="H17" s="2">
        <f t="shared" si="6"/>
        <v>16.054545454548133</v>
      </c>
      <c r="I17" s="2">
        <f t="shared" si="7"/>
        <v>257.74842975215211</v>
      </c>
    </row>
    <row r="18" spans="1:9">
      <c r="A18" t="s">
        <v>29</v>
      </c>
      <c r="B18">
        <v>85</v>
      </c>
      <c r="C18" s="2">
        <v>6054</v>
      </c>
      <c r="D18" s="2">
        <v>191.87636363636372</v>
      </c>
      <c r="E18" s="2">
        <v>53.439714967971803</v>
      </c>
      <c r="F18" s="2">
        <f t="shared" si="4"/>
        <v>6055.6727272727294</v>
      </c>
      <c r="G18" s="2">
        <f t="shared" si="5"/>
        <v>-1.6727272727293894</v>
      </c>
      <c r="H18" s="2">
        <f t="shared" si="6"/>
        <v>1.6727272727293894</v>
      </c>
      <c r="I18" s="2">
        <f t="shared" si="7"/>
        <v>2.7980165289327008</v>
      </c>
    </row>
    <row r="19" spans="1:9">
      <c r="A19" t="s">
        <v>29</v>
      </c>
      <c r="B19">
        <v>80</v>
      </c>
      <c r="C19" s="2">
        <v>5091</v>
      </c>
      <c r="D19" s="2">
        <v>191.87636363636372</v>
      </c>
      <c r="E19" s="2">
        <v>53.439714967971803</v>
      </c>
      <c r="F19" s="2">
        <f t="shared" si="4"/>
        <v>5096.2909090909106</v>
      </c>
      <c r="G19" s="2">
        <f t="shared" si="5"/>
        <v>-5.2909090909106453</v>
      </c>
      <c r="H19" s="2">
        <f t="shared" si="6"/>
        <v>5.2909090909106453</v>
      </c>
      <c r="I19" s="2">
        <f t="shared" si="7"/>
        <v>27.993719008280912</v>
      </c>
    </row>
    <row r="20" spans="1:9">
      <c r="A20" t="s">
        <v>29</v>
      </c>
      <c r="B20">
        <v>75</v>
      </c>
      <c r="C20" s="2">
        <v>4143</v>
      </c>
      <c r="D20" s="2">
        <v>191.87636363636372</v>
      </c>
      <c r="E20" s="2">
        <v>53.439714967971803</v>
      </c>
      <c r="F20" s="2">
        <f t="shared" si="4"/>
        <v>4136.9090909090919</v>
      </c>
      <c r="G20" s="2">
        <f t="shared" si="5"/>
        <v>6.0909090909080987</v>
      </c>
      <c r="H20" s="2">
        <f t="shared" si="6"/>
        <v>6.0909090909080987</v>
      </c>
      <c r="I20" s="2">
        <f t="shared" si="7"/>
        <v>37.099173553706919</v>
      </c>
    </row>
    <row r="21" spans="1:9">
      <c r="A21" t="s">
        <v>29</v>
      </c>
      <c r="B21">
        <v>70</v>
      </c>
      <c r="C21" s="2">
        <v>3181</v>
      </c>
      <c r="D21" s="2">
        <v>191.87636363636372</v>
      </c>
      <c r="E21" s="2">
        <v>53.439714967971803</v>
      </c>
      <c r="F21" s="2">
        <f t="shared" si="4"/>
        <v>3177.5272727272736</v>
      </c>
      <c r="G21" s="2">
        <f t="shared" si="5"/>
        <v>3.472727272726388</v>
      </c>
      <c r="H21" s="2">
        <f t="shared" si="6"/>
        <v>3.472727272726388</v>
      </c>
      <c r="I21" s="2">
        <f t="shared" si="7"/>
        <v>12.059834710737658</v>
      </c>
    </row>
    <row r="22" spans="1:9">
      <c r="A22" t="s">
        <v>29</v>
      </c>
      <c r="B22">
        <v>65</v>
      </c>
      <c r="C22" s="2">
        <v>2218</v>
      </c>
      <c r="D22" s="2">
        <v>191.87636363636372</v>
      </c>
      <c r="E22" s="2">
        <v>53.439714967971803</v>
      </c>
      <c r="F22" s="2">
        <f t="shared" si="4"/>
        <v>2218.1454545454549</v>
      </c>
      <c r="G22" s="2">
        <f t="shared" si="5"/>
        <v>-0.14545454545486791</v>
      </c>
      <c r="H22" s="2">
        <f t="shared" si="6"/>
        <v>0.14545454545486791</v>
      </c>
      <c r="I22" s="2">
        <f t="shared" si="7"/>
        <v>2.1157024793482235E-2</v>
      </c>
    </row>
    <row r="23" spans="1:9">
      <c r="A23" t="s">
        <v>29</v>
      </c>
      <c r="B23">
        <v>60</v>
      </c>
      <c r="C23" s="2">
        <v>1262</v>
      </c>
      <c r="D23" s="2">
        <v>191.87636363636372</v>
      </c>
      <c r="E23" s="2">
        <v>53.439714967971803</v>
      </c>
      <c r="F23" s="2">
        <f t="shared" si="4"/>
        <v>1258.7636363636364</v>
      </c>
      <c r="G23" s="2">
        <f t="shared" si="5"/>
        <v>3.2363636363636488</v>
      </c>
      <c r="H23" s="2">
        <f t="shared" si="6"/>
        <v>3.2363636363636488</v>
      </c>
      <c r="I23" s="2">
        <f t="shared" si="7"/>
        <v>10.474049586776939</v>
      </c>
    </row>
    <row r="24" spans="1:9">
      <c r="A24" t="s">
        <v>29</v>
      </c>
      <c r="B24">
        <v>55</v>
      </c>
      <c r="C24" s="2">
        <v>300</v>
      </c>
      <c r="D24" s="2">
        <v>191.87636363636372</v>
      </c>
      <c r="E24" s="2">
        <v>53.439714967971803</v>
      </c>
      <c r="F24" s="2">
        <f t="shared" si="4"/>
        <v>299.38181818181783</v>
      </c>
      <c r="G24" s="2">
        <f t="shared" si="5"/>
        <v>0.61818181818216544</v>
      </c>
      <c r="H24" s="2">
        <f t="shared" si="6"/>
        <v>0.61818181818216544</v>
      </c>
      <c r="I24" s="2">
        <f t="shared" si="7"/>
        <v>0.38214876033100786</v>
      </c>
    </row>
    <row r="25" spans="1:9">
      <c r="C25" s="2"/>
      <c r="D25" s="2"/>
      <c r="E25" s="2"/>
      <c r="F25" s="2"/>
      <c r="G25" s="2"/>
      <c r="H25" s="2"/>
      <c r="I25" s="2"/>
    </row>
    <row r="26" spans="1:9">
      <c r="A26" t="s">
        <v>30</v>
      </c>
      <c r="B26">
        <v>100</v>
      </c>
      <c r="C26" s="2">
        <v>8986</v>
      </c>
      <c r="D26" s="2">
        <v>192.56363636363645</v>
      </c>
      <c r="E26" s="2">
        <v>53.370314417902009</v>
      </c>
      <c r="F26" s="2">
        <f t="shared" ref="F26:F35" si="8">D26*(B26-E26)</f>
        <v>8979.1818181818198</v>
      </c>
      <c r="G26" s="2">
        <f t="shared" ref="G26:G35" si="9">C26-F26</f>
        <v>6.8181818181801646</v>
      </c>
      <c r="H26" s="2">
        <f t="shared" ref="H26:H35" si="10">ABS(G26)</f>
        <v>6.8181818181801646</v>
      </c>
      <c r="I26" s="2">
        <f t="shared" ref="I26:I35" si="11">G26^2</f>
        <v>46.487603305762576</v>
      </c>
    </row>
    <row r="27" spans="1:9">
      <c r="A27" t="s">
        <v>30</v>
      </c>
      <c r="B27">
        <v>95</v>
      </c>
      <c r="C27" s="2">
        <v>8020</v>
      </c>
      <c r="D27" s="2">
        <v>192.56363636363645</v>
      </c>
      <c r="E27" s="2">
        <v>53.370314417902009</v>
      </c>
      <c r="F27" s="2">
        <f t="shared" si="8"/>
        <v>8016.3636363636369</v>
      </c>
      <c r="G27" s="2">
        <f t="shared" si="9"/>
        <v>3.6363636363630576</v>
      </c>
      <c r="H27" s="2">
        <f t="shared" si="10"/>
        <v>3.6363636363630576</v>
      </c>
      <c r="I27" s="2">
        <f t="shared" si="11"/>
        <v>13.223140495863559</v>
      </c>
    </row>
    <row r="28" spans="1:9">
      <c r="A28" t="s">
        <v>30</v>
      </c>
      <c r="B28">
        <v>90</v>
      </c>
      <c r="C28" s="2">
        <v>7060</v>
      </c>
      <c r="D28" s="2">
        <v>192.56363636363645</v>
      </c>
      <c r="E28" s="2">
        <v>53.370314417902009</v>
      </c>
      <c r="F28" s="2">
        <f t="shared" si="8"/>
        <v>7053.545454545454</v>
      </c>
      <c r="G28" s="2">
        <f t="shared" si="9"/>
        <v>6.4545454545459506</v>
      </c>
      <c r="H28" s="2">
        <f t="shared" si="10"/>
        <v>6.4545454545459506</v>
      </c>
      <c r="I28" s="2">
        <f t="shared" si="11"/>
        <v>41.661157024799792</v>
      </c>
    </row>
    <row r="29" spans="1:9">
      <c r="A29" t="s">
        <v>30</v>
      </c>
      <c r="B29">
        <v>85</v>
      </c>
      <c r="C29" s="2">
        <v>6098</v>
      </c>
      <c r="D29" s="2">
        <v>192.56363636363645</v>
      </c>
      <c r="E29" s="2">
        <v>53.370314417902009</v>
      </c>
      <c r="F29" s="2">
        <f t="shared" si="8"/>
        <v>6090.7272727272721</v>
      </c>
      <c r="G29" s="2">
        <f t="shared" si="9"/>
        <v>7.2727272727279342</v>
      </c>
      <c r="H29" s="2">
        <f t="shared" si="10"/>
        <v>7.2727272727279342</v>
      </c>
      <c r="I29" s="2">
        <f t="shared" si="11"/>
        <v>52.892561983480697</v>
      </c>
    </row>
    <row r="30" spans="1:9">
      <c r="A30" t="s">
        <v>30</v>
      </c>
      <c r="B30">
        <v>80</v>
      </c>
      <c r="C30" s="2">
        <v>5130</v>
      </c>
      <c r="D30" s="2">
        <v>192.56363636363645</v>
      </c>
      <c r="E30" s="2">
        <v>53.370314417902009</v>
      </c>
      <c r="F30" s="2">
        <f t="shared" si="8"/>
        <v>5127.9090909090901</v>
      </c>
      <c r="G30" s="2">
        <f t="shared" si="9"/>
        <v>2.0909090909099177</v>
      </c>
      <c r="H30" s="2">
        <f t="shared" si="10"/>
        <v>2.0909090909099177</v>
      </c>
      <c r="I30" s="2">
        <f t="shared" si="11"/>
        <v>4.371900826449739</v>
      </c>
    </row>
    <row r="31" spans="1:9">
      <c r="A31" t="s">
        <v>30</v>
      </c>
      <c r="B31">
        <v>75</v>
      </c>
      <c r="C31" s="2">
        <v>4157</v>
      </c>
      <c r="D31" s="2">
        <v>192.56363636363645</v>
      </c>
      <c r="E31" s="2">
        <v>53.370314417902009</v>
      </c>
      <c r="F31" s="2">
        <f t="shared" si="8"/>
        <v>4165.0909090909081</v>
      </c>
      <c r="G31" s="2">
        <f t="shared" si="9"/>
        <v>-8.0909090909080987</v>
      </c>
      <c r="H31" s="2">
        <f t="shared" si="10"/>
        <v>8.0909090909080987</v>
      </c>
      <c r="I31" s="2">
        <f t="shared" si="11"/>
        <v>65.462809917339314</v>
      </c>
    </row>
    <row r="32" spans="1:9">
      <c r="A32" t="s">
        <v>30</v>
      </c>
      <c r="B32">
        <v>70</v>
      </c>
      <c r="C32" s="2">
        <v>3182</v>
      </c>
      <c r="D32" s="2">
        <v>192.56363636363645</v>
      </c>
      <c r="E32" s="2">
        <v>53.370314417902009</v>
      </c>
      <c r="F32" s="2">
        <f t="shared" si="8"/>
        <v>3202.2727272727257</v>
      </c>
      <c r="G32" s="2">
        <f t="shared" si="9"/>
        <v>-20.27272727272566</v>
      </c>
      <c r="H32" s="2">
        <f t="shared" si="10"/>
        <v>20.27272727272566</v>
      </c>
      <c r="I32" s="2">
        <f t="shared" si="11"/>
        <v>410.98347107431482</v>
      </c>
    </row>
    <row r="33" spans="1:9">
      <c r="A33" t="s">
        <v>30</v>
      </c>
      <c r="B33">
        <v>65</v>
      </c>
      <c r="C33" s="2">
        <v>2207</v>
      </c>
      <c r="D33" s="2">
        <v>192.56363636363645</v>
      </c>
      <c r="E33" s="2">
        <v>53.370314417902009</v>
      </c>
      <c r="F33" s="2">
        <f t="shared" si="8"/>
        <v>2239.4545454545432</v>
      </c>
      <c r="G33" s="2">
        <f t="shared" si="9"/>
        <v>-32.454545454543222</v>
      </c>
      <c r="H33" s="2">
        <f t="shared" si="10"/>
        <v>32.454545454543222</v>
      </c>
      <c r="I33" s="2">
        <f t="shared" si="11"/>
        <v>1053.2975206610122</v>
      </c>
    </row>
    <row r="34" spans="1:9">
      <c r="A34" t="s">
        <v>30</v>
      </c>
      <c r="B34">
        <v>60</v>
      </c>
      <c r="C34" s="2">
        <v>1245</v>
      </c>
      <c r="D34" s="2">
        <v>192.56363636363645</v>
      </c>
      <c r="E34" s="2">
        <v>53.370314417902009</v>
      </c>
      <c r="F34" s="2">
        <f t="shared" si="8"/>
        <v>1276.636363636361</v>
      </c>
      <c r="G34" s="2">
        <f t="shared" si="9"/>
        <v>-31.636363636361011</v>
      </c>
      <c r="H34" s="2">
        <f t="shared" si="10"/>
        <v>31.636363636361011</v>
      </c>
      <c r="I34" s="2">
        <f t="shared" si="11"/>
        <v>1000.8595041320654</v>
      </c>
    </row>
    <row r="35" spans="1:9">
      <c r="A35" t="s">
        <v>30</v>
      </c>
      <c r="B35">
        <v>55</v>
      </c>
      <c r="C35" s="2">
        <v>380</v>
      </c>
      <c r="D35" s="2">
        <v>192.56363636363645</v>
      </c>
      <c r="E35" s="2">
        <v>53.370314417902009</v>
      </c>
      <c r="F35" s="2">
        <f t="shared" si="8"/>
        <v>313.8181818181788</v>
      </c>
      <c r="G35" s="2">
        <f t="shared" si="9"/>
        <v>66.1818181818212</v>
      </c>
      <c r="H35" s="2">
        <f t="shared" si="10"/>
        <v>66.1818181818212</v>
      </c>
      <c r="I35" s="2">
        <f t="shared" si="11"/>
        <v>4380.0330578516396</v>
      </c>
    </row>
    <row r="36" spans="1:9">
      <c r="C36" s="2"/>
      <c r="D36" s="2"/>
      <c r="E36" s="2"/>
      <c r="F36" s="2"/>
      <c r="G36" s="2"/>
      <c r="H36" s="2"/>
      <c r="I36" s="2"/>
    </row>
    <row r="37" spans="1:9">
      <c r="A37" t="s">
        <v>31</v>
      </c>
      <c r="B37">
        <v>100</v>
      </c>
      <c r="C37" s="2">
        <v>9194</v>
      </c>
      <c r="D37" s="2">
        <v>198.32242424242432</v>
      </c>
      <c r="E37" s="2">
        <v>53.487586788578149</v>
      </c>
      <c r="F37" s="2">
        <f t="shared" ref="F37:F46" si="12">D37*(B37-E37)</f>
        <v>9224.454545454546</v>
      </c>
      <c r="G37" s="2">
        <f t="shared" ref="G37:G46" si="13">C37-F37</f>
        <v>-30.454545454545951</v>
      </c>
      <c r="H37" s="2">
        <f t="shared" ref="H37:H46" si="14">ABS(G37)</f>
        <v>30.454545454545951</v>
      </c>
      <c r="I37" s="2">
        <f t="shared" ref="I37:I46" si="15">G37^2</f>
        <v>927.47933884300539</v>
      </c>
    </row>
    <row r="38" spans="1:9">
      <c r="A38" t="s">
        <v>31</v>
      </c>
      <c r="B38">
        <v>95</v>
      </c>
      <c r="C38" s="2">
        <v>8255</v>
      </c>
      <c r="D38" s="2">
        <v>198.32242424242432</v>
      </c>
      <c r="E38" s="2">
        <v>53.487586788578149</v>
      </c>
      <c r="F38" s="2">
        <f t="shared" si="12"/>
        <v>8232.8424242424244</v>
      </c>
      <c r="G38" s="2">
        <f t="shared" si="13"/>
        <v>22.157575757575614</v>
      </c>
      <c r="H38" s="2">
        <f t="shared" si="14"/>
        <v>22.157575757575614</v>
      </c>
      <c r="I38" s="2">
        <f t="shared" si="15"/>
        <v>490.95816345270254</v>
      </c>
    </row>
    <row r="39" spans="1:9">
      <c r="A39" t="s">
        <v>31</v>
      </c>
      <c r="B39">
        <v>90</v>
      </c>
      <c r="C39" s="2">
        <v>7256</v>
      </c>
      <c r="D39" s="2">
        <v>198.32242424242432</v>
      </c>
      <c r="E39" s="2">
        <v>53.487586788578149</v>
      </c>
      <c r="F39" s="2">
        <f t="shared" si="12"/>
        <v>7241.2303030303028</v>
      </c>
      <c r="G39" s="2">
        <f t="shared" si="13"/>
        <v>14.769696969697179</v>
      </c>
      <c r="H39" s="2">
        <f t="shared" si="14"/>
        <v>14.769696969697179</v>
      </c>
      <c r="I39" s="2">
        <f t="shared" si="15"/>
        <v>218.14394857668205</v>
      </c>
    </row>
    <row r="40" spans="1:9">
      <c r="A40" t="s">
        <v>31</v>
      </c>
      <c r="B40">
        <v>85</v>
      </c>
      <c r="C40" s="2">
        <v>6265</v>
      </c>
      <c r="D40" s="2">
        <v>198.32242424242432</v>
      </c>
      <c r="E40" s="2">
        <v>53.487586788578149</v>
      </c>
      <c r="F40" s="2">
        <f t="shared" si="12"/>
        <v>6249.6181818181813</v>
      </c>
      <c r="G40" s="2">
        <f t="shared" si="13"/>
        <v>15.381818181818744</v>
      </c>
      <c r="H40" s="2">
        <f t="shared" si="14"/>
        <v>15.381818181818744</v>
      </c>
      <c r="I40" s="2">
        <f t="shared" si="15"/>
        <v>236.60033057852968</v>
      </c>
    </row>
    <row r="41" spans="1:9">
      <c r="A41" t="s">
        <v>31</v>
      </c>
      <c r="B41">
        <v>80</v>
      </c>
      <c r="C41" s="2">
        <v>5268</v>
      </c>
      <c r="D41" s="2">
        <v>198.32242424242432</v>
      </c>
      <c r="E41" s="2">
        <v>53.487586788578149</v>
      </c>
      <c r="F41" s="2">
        <f t="shared" si="12"/>
        <v>5258.0060606060597</v>
      </c>
      <c r="G41" s="2">
        <f t="shared" si="13"/>
        <v>9.9939393939403089</v>
      </c>
      <c r="H41" s="2">
        <f t="shared" si="14"/>
        <v>9.9939393939403089</v>
      </c>
      <c r="I41" s="2">
        <f t="shared" si="15"/>
        <v>99.878824609751987</v>
      </c>
    </row>
    <row r="42" spans="1:9">
      <c r="A42" t="s">
        <v>31</v>
      </c>
      <c r="B42">
        <v>75</v>
      </c>
      <c r="C42" s="2">
        <v>4261</v>
      </c>
      <c r="D42" s="2">
        <v>198.32242424242432</v>
      </c>
      <c r="E42" s="2">
        <v>53.487586788578149</v>
      </c>
      <c r="F42" s="2">
        <f t="shared" si="12"/>
        <v>4266.3939393939381</v>
      </c>
      <c r="G42" s="2">
        <f t="shared" si="13"/>
        <v>-5.3939393939381262</v>
      </c>
      <c r="H42" s="2">
        <f t="shared" si="14"/>
        <v>5.3939393939381262</v>
      </c>
      <c r="I42" s="2">
        <f t="shared" si="15"/>
        <v>29.094582185477599</v>
      </c>
    </row>
    <row r="43" spans="1:9">
      <c r="A43" t="s">
        <v>31</v>
      </c>
      <c r="B43">
        <v>70</v>
      </c>
      <c r="C43" s="2">
        <v>3259</v>
      </c>
      <c r="D43" s="2">
        <v>198.32242424242432</v>
      </c>
      <c r="E43" s="2">
        <v>53.487586788578149</v>
      </c>
      <c r="F43" s="2">
        <f t="shared" si="12"/>
        <v>3274.7818181818166</v>
      </c>
      <c r="G43" s="2">
        <f t="shared" si="13"/>
        <v>-15.781818181816561</v>
      </c>
      <c r="H43" s="2">
        <f t="shared" si="14"/>
        <v>15.781818181816561</v>
      </c>
      <c r="I43" s="2">
        <f t="shared" si="15"/>
        <v>249.06578512391579</v>
      </c>
    </row>
    <row r="44" spans="1:9">
      <c r="A44" t="s">
        <v>31</v>
      </c>
      <c r="B44">
        <v>65</v>
      </c>
      <c r="C44" s="2">
        <v>2257</v>
      </c>
      <c r="D44" s="2">
        <v>198.32242424242432</v>
      </c>
      <c r="E44" s="2">
        <v>53.487586788578149</v>
      </c>
      <c r="F44" s="2">
        <f t="shared" si="12"/>
        <v>2283.169696969695</v>
      </c>
      <c r="G44" s="2">
        <f t="shared" si="13"/>
        <v>-26.169696969694996</v>
      </c>
      <c r="H44" s="2">
        <f t="shared" si="14"/>
        <v>26.169696969694996</v>
      </c>
      <c r="I44" s="2">
        <f t="shared" si="15"/>
        <v>684.85303948566343</v>
      </c>
    </row>
    <row r="45" spans="1:9">
      <c r="A45" t="s">
        <v>31</v>
      </c>
      <c r="B45">
        <v>60</v>
      </c>
      <c r="C45" s="2">
        <v>1264</v>
      </c>
      <c r="D45" s="2">
        <v>198.32242424242432</v>
      </c>
      <c r="E45" s="2">
        <v>53.487586788578149</v>
      </c>
      <c r="F45" s="2">
        <f t="shared" si="12"/>
        <v>1291.5575757575734</v>
      </c>
      <c r="G45" s="2">
        <f t="shared" si="13"/>
        <v>-27.557575757573431</v>
      </c>
      <c r="H45" s="2">
        <f t="shared" si="14"/>
        <v>27.557575757573431</v>
      </c>
      <c r="I45" s="2">
        <f t="shared" si="15"/>
        <v>759.41998163439894</v>
      </c>
    </row>
    <row r="46" spans="1:9">
      <c r="A46" t="s">
        <v>31</v>
      </c>
      <c r="B46">
        <v>55</v>
      </c>
      <c r="C46" s="2">
        <v>343</v>
      </c>
      <c r="D46" s="2">
        <v>198.32242424242432</v>
      </c>
      <c r="E46" s="2">
        <v>53.487586788578149</v>
      </c>
      <c r="F46" s="2">
        <f t="shared" si="12"/>
        <v>299.94545454545175</v>
      </c>
      <c r="G46" s="2">
        <f t="shared" si="13"/>
        <v>43.054545454548247</v>
      </c>
      <c r="H46" s="2">
        <f t="shared" si="14"/>
        <v>43.054545454548247</v>
      </c>
      <c r="I46" s="2">
        <f t="shared" si="15"/>
        <v>1853.6938842977611</v>
      </c>
    </row>
  </sheetData>
  <mergeCells count="1">
    <mergeCell ref="A1:I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 Data</vt:lpstr>
      <vt:lpstr>Fit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#SONG YICK QI#</cp:lastModifiedBy>
  <dcterms:modified xsi:type="dcterms:W3CDTF">2026-08-29T17:11:23Z</dcterms:modified>
</cp:coreProperties>
</file>